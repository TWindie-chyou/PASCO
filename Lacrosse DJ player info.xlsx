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indie/Documents/Temp/"/>
    </mc:Choice>
  </mc:AlternateContent>
  <xr:revisionPtr revIDLastSave="0" documentId="13_ncr:1_{80110880-7244-9243-9F61-692F24733932}" xr6:coauthVersionLast="45" xr6:coauthVersionMax="45" xr10:uidLastSave="{00000000-0000-0000-0000-000000000000}"/>
  <bookViews>
    <workbookView xWindow="260" yWindow="460" windowWidth="28260" windowHeight="16420" xr2:uid="{A275FBD7-C80B-CB41-9B4F-2D3BFABFA981}"/>
  </bookViews>
  <sheets>
    <sheet name="工作表1" sheetId="1" r:id="rId1"/>
  </sheets>
  <definedNames>
    <definedName name="_xlnm._FilterDatabase" localSheetId="0" hidden="1">工作表1!$A$1:$D$31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</calcChain>
</file>

<file path=xl/sharedStrings.xml><?xml version="1.0" encoding="utf-8"?>
<sst xmlns="http://schemas.openxmlformats.org/spreadsheetml/2006/main" count="68" uniqueCount="66">
  <si>
    <t>中文全名</t>
  </si>
  <si>
    <t>林誌豪</t>
  </si>
  <si>
    <t>陳國賢</t>
  </si>
  <si>
    <t>蕭宗翰</t>
  </si>
  <si>
    <t>彭献文</t>
  </si>
  <si>
    <t>卓柏陞</t>
  </si>
  <si>
    <t>蕭煒璁</t>
  </si>
  <si>
    <t>王中成</t>
  </si>
  <si>
    <t>李易庭</t>
  </si>
  <si>
    <t>黃興文</t>
  </si>
  <si>
    <t>陳育褘</t>
  </si>
  <si>
    <t>陳昱綸</t>
  </si>
  <si>
    <t>粘朝欽</t>
  </si>
  <si>
    <t>段仁瑋</t>
  </si>
  <si>
    <t>黃宜夆</t>
  </si>
  <si>
    <t>古蕓祥</t>
  </si>
  <si>
    <t>張晏齊</t>
  </si>
  <si>
    <t>胡元勳</t>
  </si>
  <si>
    <t>林彥銘</t>
  </si>
  <si>
    <t>高勤昊</t>
  </si>
  <si>
    <t>邱秉睿</t>
  </si>
  <si>
    <t>沈宗逸</t>
  </si>
  <si>
    <t>李威岑</t>
  </si>
  <si>
    <t>鍾聖恩</t>
  </si>
  <si>
    <t>陳彥均</t>
  </si>
  <si>
    <t>胡育鴻</t>
  </si>
  <si>
    <t>巫柏毅</t>
  </si>
  <si>
    <t>曹佑齊</t>
  </si>
  <si>
    <t>王建升</t>
  </si>
  <si>
    <t>林書正</t>
  </si>
  <si>
    <t>温庭新</t>
  </si>
  <si>
    <t>身高</t>
    <phoneticPr fontId="1" type="noConversion"/>
  </si>
  <si>
    <t>體重</t>
    <phoneticPr fontId="1" type="noConversion"/>
  </si>
  <si>
    <t>No.</t>
    <phoneticPr fontId="1" type="noConversion"/>
  </si>
  <si>
    <t>Date of Test</t>
    <phoneticPr fontId="1" type="noConversion"/>
  </si>
  <si>
    <t>D.O.B.</t>
    <phoneticPr fontId="1" type="noConversion"/>
  </si>
  <si>
    <t>Age</t>
    <phoneticPr fontId="1" type="noConversion"/>
  </si>
  <si>
    <t>1997/11/07</t>
  </si>
  <si>
    <t>2002/06/21</t>
  </si>
  <si>
    <t>1998/02/28</t>
  </si>
  <si>
    <t>2000/05/02</t>
  </si>
  <si>
    <t>1999/04/21</t>
  </si>
  <si>
    <t>2003/07/06</t>
  </si>
  <si>
    <t>2002/07/09</t>
  </si>
  <si>
    <t>2000/09/28</t>
  </si>
  <si>
    <t>1996/03/30</t>
  </si>
  <si>
    <t>2002/08/04</t>
  </si>
  <si>
    <t>2000/06/18</t>
  </si>
  <si>
    <t>2002/02/09</t>
  </si>
  <si>
    <t>1992/04/02</t>
  </si>
  <si>
    <t>1999/09/13</t>
  </si>
  <si>
    <t>1998/08/21</t>
  </si>
  <si>
    <t>1998/07/28</t>
  </si>
  <si>
    <t>2000/12/09</t>
  </si>
  <si>
    <t>1996/01/30</t>
  </si>
  <si>
    <t>2001/08/05</t>
  </si>
  <si>
    <t>1999/03/23</t>
  </si>
  <si>
    <t>1998/05/01</t>
  </si>
  <si>
    <t>1996/01/13</t>
  </si>
  <si>
    <t>2000/01/27</t>
  </si>
  <si>
    <t>2000/04/02</t>
  </si>
  <si>
    <t>2002/12/14</t>
  </si>
  <si>
    <t>1998/06/18</t>
  </si>
  <si>
    <t>2002/01/22</t>
  </si>
  <si>
    <t>2002/05/04</t>
  </si>
  <si>
    <t>Under 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</si>
</sst>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m/dd/yy;@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20A4-4151-B44D-8FF3-C3F55F5AEAC6}">
  <dimension ref="A1:H31"/>
  <sheetViews>
    <sheetView tabSelected="1" topLeftCell="A9" zoomScale="139" workbookViewId="0">
      <selection activeCell="A9" sqref="A1:H1048576"/>
    </sheetView>
  </sheetViews>
  <sheetFormatPr baseColWidth="10" defaultRowHeight="15"/>
  <cols>
    <col min="1" max="1" width="7.1640625" bestFit="1" customWidth="1"/>
    <col min="2" max="2" width="12.33203125" customWidth="1"/>
    <col min="3" max="4" width="8.33203125" customWidth="1"/>
    <col min="5" max="5" width="11" customWidth="1"/>
    <col min="6" max="6" width="11.33203125" customWidth="1"/>
    <col min="7" max="7" width="13" customWidth="1"/>
    <col min="8" max="8" width="9.33203125" bestFit="1" customWidth="1"/>
  </cols>
  <sheetData>
    <row r="1" spans="1:8">
      <c r="A1" s="1" t="s">
        <v>33</v>
      </c>
      <c r="B1" s="1" t="s">
        <v>0</v>
      </c>
      <c r="C1" s="1" t="s">
        <v>31</v>
      </c>
      <c r="D1" s="1" t="s">
        <v>32</v>
      </c>
      <c r="E1" s="1" t="s">
        <v>35</v>
      </c>
      <c r="F1" s="1" t="s">
        <v>34</v>
      </c>
      <c r="G1" s="1" t="s">
        <v>36</v>
      </c>
      <c r="H1" s="1" t="s">
        <v>65</v>
      </c>
    </row>
    <row r="2" spans="1:8">
      <c r="A2" s="1">
        <v>1</v>
      </c>
      <c r="B2" s="1" t="s">
        <v>26</v>
      </c>
      <c r="C2" s="1">
        <v>174</v>
      </c>
      <c r="D2" s="1">
        <v>82</v>
      </c>
      <c r="E2" s="2" t="s">
        <v>37</v>
      </c>
      <c r="F2" s="3">
        <v>43764</v>
      </c>
      <c r="G2" s="1">
        <f>_xlfn.DAYS(F2, E2) / 365.25</f>
        <v>21.965776865160848</v>
      </c>
      <c r="H2" s="1" t="str">
        <f>IF(G2 &lt; 20, "Yes", "No")</f>
        <v>No</v>
      </c>
    </row>
    <row r="3" spans="1:8">
      <c r="A3" s="1">
        <v>2</v>
      </c>
      <c r="B3" s="1" t="s">
        <v>16</v>
      </c>
      <c r="C3" s="1">
        <v>166</v>
      </c>
      <c r="D3" s="1">
        <v>102</v>
      </c>
      <c r="E3" s="2" t="s">
        <v>38</v>
      </c>
      <c r="F3" s="3">
        <v>43764</v>
      </c>
      <c r="G3" s="1">
        <f t="shared" ref="G3:G31" si="0">_xlfn.DAYS(F3, E3) / 365.25</f>
        <v>17.347022587268995</v>
      </c>
      <c r="H3" s="1" t="str">
        <f t="shared" ref="H3:H31" si="1">IF(G3 &lt; 20, "Yes", "No")</f>
        <v>Yes</v>
      </c>
    </row>
    <row r="4" spans="1:8">
      <c r="A4" s="1">
        <v>3</v>
      </c>
      <c r="B4" s="1" t="s">
        <v>25</v>
      </c>
      <c r="C4" s="1">
        <v>172</v>
      </c>
      <c r="D4" s="1">
        <v>67</v>
      </c>
      <c r="E4" s="2" t="s">
        <v>39</v>
      </c>
      <c r="F4" s="3">
        <v>43764</v>
      </c>
      <c r="G4" s="1">
        <f t="shared" si="0"/>
        <v>21.656399726214921</v>
      </c>
      <c r="H4" s="1" t="str">
        <f t="shared" si="1"/>
        <v>No</v>
      </c>
    </row>
    <row r="5" spans="1:8">
      <c r="A5" s="1">
        <v>4</v>
      </c>
      <c r="B5" s="1" t="s">
        <v>17</v>
      </c>
      <c r="C5" s="1">
        <v>180</v>
      </c>
      <c r="D5" s="1">
        <v>86</v>
      </c>
      <c r="E5" s="2" t="s">
        <v>40</v>
      </c>
      <c r="F5" s="3">
        <v>43764</v>
      </c>
      <c r="G5" s="1">
        <f t="shared" si="0"/>
        <v>19.482546201232033</v>
      </c>
      <c r="H5" s="1" t="str">
        <f t="shared" si="1"/>
        <v>Yes</v>
      </c>
    </row>
    <row r="6" spans="1:8">
      <c r="A6" s="1">
        <v>5</v>
      </c>
      <c r="B6" s="1" t="s">
        <v>15</v>
      </c>
      <c r="C6" s="1">
        <v>171</v>
      </c>
      <c r="D6" s="1">
        <v>57</v>
      </c>
      <c r="E6" s="2" t="s">
        <v>41</v>
      </c>
      <c r="F6" s="3">
        <v>43764</v>
      </c>
      <c r="G6" s="1">
        <f t="shared" si="0"/>
        <v>20.514715947980836</v>
      </c>
      <c r="H6" s="1" t="str">
        <f t="shared" si="1"/>
        <v>No</v>
      </c>
    </row>
    <row r="7" spans="1:8">
      <c r="A7" s="1">
        <v>6</v>
      </c>
      <c r="B7" s="1" t="s">
        <v>1</v>
      </c>
      <c r="C7" s="1">
        <v>173</v>
      </c>
      <c r="D7" s="1">
        <v>56</v>
      </c>
      <c r="E7" s="2" t="s">
        <v>42</v>
      </c>
      <c r="F7" s="3">
        <v>43764</v>
      </c>
      <c r="G7" s="1">
        <f t="shared" si="0"/>
        <v>16.306639288158795</v>
      </c>
      <c r="H7" s="1" t="str">
        <f t="shared" si="1"/>
        <v>Yes</v>
      </c>
    </row>
    <row r="8" spans="1:8">
      <c r="A8" s="1">
        <v>7</v>
      </c>
      <c r="B8" s="1" t="s">
        <v>5</v>
      </c>
      <c r="C8" s="1">
        <v>177</v>
      </c>
      <c r="D8" s="1">
        <v>65</v>
      </c>
      <c r="E8" s="2" t="s">
        <v>43</v>
      </c>
      <c r="F8" s="3">
        <v>43764</v>
      </c>
      <c r="G8" s="1">
        <f t="shared" si="0"/>
        <v>17.297741273100616</v>
      </c>
      <c r="H8" s="1" t="str">
        <f t="shared" si="1"/>
        <v>Yes</v>
      </c>
    </row>
    <row r="9" spans="1:8">
      <c r="A9" s="1">
        <v>8</v>
      </c>
      <c r="B9" s="1" t="s">
        <v>18</v>
      </c>
      <c r="C9" s="1">
        <v>179</v>
      </c>
      <c r="D9" s="1">
        <v>78</v>
      </c>
      <c r="E9" s="2" t="s">
        <v>44</v>
      </c>
      <c r="F9" s="3">
        <v>43764</v>
      </c>
      <c r="G9" s="1">
        <f t="shared" si="0"/>
        <v>19.074606433949349</v>
      </c>
      <c r="H9" s="1" t="str">
        <f t="shared" si="1"/>
        <v>Yes</v>
      </c>
    </row>
    <row r="10" spans="1:8">
      <c r="A10" s="1">
        <v>9</v>
      </c>
      <c r="B10" s="1" t="s">
        <v>27</v>
      </c>
      <c r="C10" s="1">
        <v>172</v>
      </c>
      <c r="D10" s="1">
        <v>62</v>
      </c>
      <c r="E10" s="2" t="s">
        <v>45</v>
      </c>
      <c r="F10" s="3">
        <v>43764</v>
      </c>
      <c r="G10" s="1">
        <f t="shared" si="0"/>
        <v>23.572895277207394</v>
      </c>
      <c r="H10" s="1" t="str">
        <f t="shared" si="1"/>
        <v>No</v>
      </c>
    </row>
    <row r="11" spans="1:8">
      <c r="A11" s="1">
        <v>10</v>
      </c>
      <c r="B11" s="1" t="s">
        <v>4</v>
      </c>
      <c r="C11" s="1">
        <v>171</v>
      </c>
      <c r="D11" s="1">
        <v>70</v>
      </c>
      <c r="E11" s="2" t="s">
        <v>46</v>
      </c>
      <c r="F11" s="3">
        <v>43764</v>
      </c>
      <c r="G11" s="1">
        <f t="shared" si="0"/>
        <v>17.226557152635181</v>
      </c>
      <c r="H11" s="1" t="str">
        <f t="shared" si="1"/>
        <v>Yes</v>
      </c>
    </row>
    <row r="12" spans="1:8">
      <c r="A12" s="1">
        <v>11</v>
      </c>
      <c r="B12" s="1" t="s">
        <v>13</v>
      </c>
      <c r="C12" s="1">
        <v>167</v>
      </c>
      <c r="D12" s="1">
        <v>57</v>
      </c>
      <c r="E12" s="2" t="s">
        <v>47</v>
      </c>
      <c r="F12" s="3">
        <v>43764</v>
      </c>
      <c r="G12" s="1">
        <f t="shared" si="0"/>
        <v>19.353867214236825</v>
      </c>
      <c r="H12" s="1" t="str">
        <f t="shared" si="1"/>
        <v>Yes</v>
      </c>
    </row>
    <row r="13" spans="1:8">
      <c r="A13" s="1">
        <v>12</v>
      </c>
      <c r="B13" s="1" t="s">
        <v>3</v>
      </c>
      <c r="C13" s="1">
        <v>167</v>
      </c>
      <c r="D13" s="1">
        <v>61</v>
      </c>
      <c r="E13" s="2" t="s">
        <v>48</v>
      </c>
      <c r="F13" s="3">
        <v>43764</v>
      </c>
      <c r="G13" s="1">
        <f t="shared" si="0"/>
        <v>17.708418891170432</v>
      </c>
      <c r="H13" s="1" t="str">
        <f t="shared" si="1"/>
        <v>Yes</v>
      </c>
    </row>
    <row r="14" spans="1:8">
      <c r="A14" s="1">
        <v>13</v>
      </c>
      <c r="B14" s="1" t="s">
        <v>30</v>
      </c>
      <c r="C14" s="1">
        <v>168</v>
      </c>
      <c r="D14" s="1">
        <v>70</v>
      </c>
      <c r="E14" s="2" t="s">
        <v>49</v>
      </c>
      <c r="F14" s="3">
        <v>43764</v>
      </c>
      <c r="G14" s="1">
        <f t="shared" si="0"/>
        <v>27.564681724845997</v>
      </c>
      <c r="H14" s="1" t="str">
        <f t="shared" si="1"/>
        <v>No</v>
      </c>
    </row>
    <row r="15" spans="1:8">
      <c r="A15" s="1">
        <v>14</v>
      </c>
      <c r="B15" s="1" t="s">
        <v>19</v>
      </c>
      <c r="C15" s="1">
        <v>172</v>
      </c>
      <c r="D15" s="1">
        <v>75</v>
      </c>
      <c r="E15" s="2" t="s">
        <v>50</v>
      </c>
      <c r="F15" s="3">
        <v>43764</v>
      </c>
      <c r="G15" s="1">
        <f t="shared" si="0"/>
        <v>20.11772758384668</v>
      </c>
      <c r="H15" s="1" t="str">
        <f t="shared" si="1"/>
        <v>No</v>
      </c>
    </row>
    <row r="16" spans="1:8">
      <c r="A16" s="1">
        <v>15</v>
      </c>
      <c r="B16" s="1" t="s">
        <v>21</v>
      </c>
      <c r="C16" s="1">
        <v>176</v>
      </c>
      <c r="D16" s="1">
        <v>107</v>
      </c>
      <c r="E16" s="2" t="s">
        <v>51</v>
      </c>
      <c r="F16" s="3">
        <v>43764</v>
      </c>
      <c r="G16" s="1">
        <f t="shared" si="0"/>
        <v>21.180013689253936</v>
      </c>
      <c r="H16" s="1" t="str">
        <f t="shared" si="1"/>
        <v>No</v>
      </c>
    </row>
    <row r="17" spans="1:8">
      <c r="A17" s="1">
        <v>16</v>
      </c>
      <c r="B17" s="1" t="s">
        <v>22</v>
      </c>
      <c r="C17" s="1">
        <v>170</v>
      </c>
      <c r="D17" s="1">
        <v>65</v>
      </c>
      <c r="E17" s="2" t="s">
        <v>52</v>
      </c>
      <c r="F17" s="3">
        <v>43764</v>
      </c>
      <c r="G17" s="1">
        <f t="shared" si="0"/>
        <v>21.245722108145106</v>
      </c>
      <c r="H17" s="1" t="str">
        <f t="shared" si="1"/>
        <v>No</v>
      </c>
    </row>
    <row r="18" spans="1:8">
      <c r="A18" s="1">
        <v>17</v>
      </c>
      <c r="B18" s="1" t="s">
        <v>14</v>
      </c>
      <c r="C18" s="1">
        <v>179</v>
      </c>
      <c r="D18" s="1">
        <v>100</v>
      </c>
      <c r="E18" s="2" t="s">
        <v>53</v>
      </c>
      <c r="F18" s="3">
        <v>43764</v>
      </c>
      <c r="G18" s="1">
        <f t="shared" si="0"/>
        <v>18.87748117727584</v>
      </c>
      <c r="H18" s="1" t="str">
        <f t="shared" si="1"/>
        <v>Yes</v>
      </c>
    </row>
    <row r="19" spans="1:8">
      <c r="A19" s="1">
        <v>18</v>
      </c>
      <c r="B19" s="1" t="s">
        <v>29</v>
      </c>
      <c r="C19" s="1">
        <v>168</v>
      </c>
      <c r="D19" s="1">
        <v>70</v>
      </c>
      <c r="E19" s="2" t="s">
        <v>54</v>
      </c>
      <c r="F19" s="3">
        <v>43764</v>
      </c>
      <c r="G19" s="1">
        <f t="shared" si="0"/>
        <v>23.737166324435318</v>
      </c>
      <c r="H19" s="1" t="str">
        <f t="shared" si="1"/>
        <v>No</v>
      </c>
    </row>
    <row r="20" spans="1:8">
      <c r="A20" s="1">
        <v>19</v>
      </c>
      <c r="B20" s="1" t="s">
        <v>9</v>
      </c>
      <c r="C20" s="1">
        <v>170</v>
      </c>
      <c r="D20" s="1">
        <v>78</v>
      </c>
      <c r="E20" s="2" t="s">
        <v>55</v>
      </c>
      <c r="F20" s="3">
        <v>43764</v>
      </c>
      <c r="G20" s="1">
        <f t="shared" si="0"/>
        <v>18.223134839151268</v>
      </c>
      <c r="H20" s="1" t="str">
        <f t="shared" si="1"/>
        <v>Yes</v>
      </c>
    </row>
    <row r="21" spans="1:8">
      <c r="A21" s="1">
        <v>20</v>
      </c>
      <c r="B21" s="1" t="s">
        <v>20</v>
      </c>
      <c r="C21" s="1">
        <v>165</v>
      </c>
      <c r="D21" s="1">
        <v>70</v>
      </c>
      <c r="E21" s="2" t="s">
        <v>56</v>
      </c>
      <c r="F21" s="3">
        <v>43764</v>
      </c>
      <c r="G21" s="1">
        <f t="shared" si="0"/>
        <v>20.594113620807665</v>
      </c>
      <c r="H21" s="1" t="str">
        <f t="shared" si="1"/>
        <v>No</v>
      </c>
    </row>
    <row r="22" spans="1:8">
      <c r="A22" s="1">
        <v>21</v>
      </c>
      <c r="B22" s="1" t="s">
        <v>23</v>
      </c>
      <c r="C22" s="1">
        <v>172</v>
      </c>
      <c r="D22" s="1">
        <v>66</v>
      </c>
      <c r="E22" s="2" t="s">
        <v>57</v>
      </c>
      <c r="F22" s="3">
        <v>43764</v>
      </c>
      <c r="G22" s="1">
        <f t="shared" si="0"/>
        <v>21.486652977412732</v>
      </c>
      <c r="H22" s="1" t="str">
        <f t="shared" si="1"/>
        <v>No</v>
      </c>
    </row>
    <row r="23" spans="1:8">
      <c r="A23" s="1">
        <v>22</v>
      </c>
      <c r="B23" s="1" t="s">
        <v>10</v>
      </c>
      <c r="C23" s="1">
        <v>177</v>
      </c>
      <c r="D23" s="1">
        <v>78</v>
      </c>
      <c r="E23" s="2" t="s">
        <v>55</v>
      </c>
      <c r="F23" s="3">
        <v>43764</v>
      </c>
      <c r="G23" s="1">
        <f t="shared" si="0"/>
        <v>18.223134839151268</v>
      </c>
      <c r="H23" s="1" t="str">
        <f t="shared" si="1"/>
        <v>Yes</v>
      </c>
    </row>
    <row r="24" spans="1:8">
      <c r="A24" s="1">
        <v>23</v>
      </c>
      <c r="B24" s="1" t="s">
        <v>28</v>
      </c>
      <c r="C24" s="1">
        <v>175</v>
      </c>
      <c r="D24" s="1">
        <v>79</v>
      </c>
      <c r="E24" s="2" t="s">
        <v>58</v>
      </c>
      <c r="F24" s="3">
        <v>43764</v>
      </c>
      <c r="G24" s="1">
        <f t="shared" si="0"/>
        <v>23.783709787816566</v>
      </c>
      <c r="H24" s="1" t="str">
        <f t="shared" si="1"/>
        <v>No</v>
      </c>
    </row>
    <row r="25" spans="1:8">
      <c r="A25" s="1">
        <v>24</v>
      </c>
      <c r="B25" s="1" t="s">
        <v>12</v>
      </c>
      <c r="C25" s="1">
        <v>174</v>
      </c>
      <c r="D25" s="1">
        <v>73</v>
      </c>
      <c r="E25" s="2" t="s">
        <v>59</v>
      </c>
      <c r="F25" s="3">
        <v>43764</v>
      </c>
      <c r="G25" s="1">
        <f t="shared" si="0"/>
        <v>19.745379876796715</v>
      </c>
      <c r="H25" s="1" t="str">
        <f t="shared" si="1"/>
        <v>Yes</v>
      </c>
    </row>
    <row r="26" spans="1:8">
      <c r="A26" s="1">
        <v>25</v>
      </c>
      <c r="B26" s="1" t="s">
        <v>11</v>
      </c>
      <c r="C26" s="1">
        <v>170</v>
      </c>
      <c r="D26" s="1">
        <v>58</v>
      </c>
      <c r="E26" s="2" t="s">
        <v>60</v>
      </c>
      <c r="F26" s="3">
        <v>43764</v>
      </c>
      <c r="G26" s="1">
        <f t="shared" si="0"/>
        <v>19.564681724845997</v>
      </c>
      <c r="H26" s="1" t="str">
        <f t="shared" si="1"/>
        <v>Yes</v>
      </c>
    </row>
    <row r="27" spans="1:8">
      <c r="A27" s="1">
        <v>26</v>
      </c>
      <c r="B27" s="1" t="s">
        <v>6</v>
      </c>
      <c r="C27" s="1">
        <v>159</v>
      </c>
      <c r="D27" s="1">
        <v>73</v>
      </c>
      <c r="E27" s="2" t="s">
        <v>61</v>
      </c>
      <c r="F27" s="3">
        <v>43764</v>
      </c>
      <c r="G27" s="1">
        <f t="shared" si="0"/>
        <v>16.865160848733744</v>
      </c>
      <c r="H27" s="1" t="str">
        <f t="shared" si="1"/>
        <v>Yes</v>
      </c>
    </row>
    <row r="28" spans="1:8">
      <c r="A28" s="1">
        <v>27</v>
      </c>
      <c r="B28" s="1" t="s">
        <v>24</v>
      </c>
      <c r="C28" s="1">
        <v>175</v>
      </c>
      <c r="D28" s="1">
        <v>81</v>
      </c>
      <c r="E28" s="2" t="s">
        <v>62</v>
      </c>
      <c r="F28" s="3">
        <v>43764</v>
      </c>
      <c r="G28" s="1">
        <f t="shared" si="0"/>
        <v>21.355236139630389</v>
      </c>
      <c r="H28" s="1" t="str">
        <f t="shared" si="1"/>
        <v>No</v>
      </c>
    </row>
    <row r="29" spans="1:8">
      <c r="A29" s="1">
        <v>28</v>
      </c>
      <c r="B29" s="1" t="s">
        <v>8</v>
      </c>
      <c r="C29" s="1">
        <v>173</v>
      </c>
      <c r="D29" s="1">
        <v>78</v>
      </c>
      <c r="E29" s="2" t="s">
        <v>63</v>
      </c>
      <c r="F29" s="3">
        <v>43764</v>
      </c>
      <c r="G29" s="1">
        <f t="shared" si="0"/>
        <v>17.757700205338811</v>
      </c>
      <c r="H29" s="1" t="str">
        <f t="shared" si="1"/>
        <v>Yes</v>
      </c>
    </row>
    <row r="30" spans="1:8">
      <c r="A30" s="1">
        <v>29</v>
      </c>
      <c r="B30" s="1" t="s">
        <v>2</v>
      </c>
      <c r="C30" s="1">
        <v>167</v>
      </c>
      <c r="D30" s="1">
        <v>59.9</v>
      </c>
      <c r="E30" s="2" t="s">
        <v>38</v>
      </c>
      <c r="F30" s="3">
        <v>43764</v>
      </c>
      <c r="G30" s="1">
        <f t="shared" si="0"/>
        <v>17.347022587268995</v>
      </c>
      <c r="H30" s="1" t="str">
        <f t="shared" si="1"/>
        <v>Yes</v>
      </c>
    </row>
    <row r="31" spans="1:8">
      <c r="A31" s="1">
        <v>30</v>
      </c>
      <c r="B31" s="1" t="s">
        <v>7</v>
      </c>
      <c r="C31" s="1">
        <v>177</v>
      </c>
      <c r="D31" s="1">
        <v>83</v>
      </c>
      <c r="E31" s="2" t="s">
        <v>64</v>
      </c>
      <c r="F31" s="3">
        <v>43764</v>
      </c>
      <c r="G31" s="1">
        <f t="shared" si="0"/>
        <v>17.478439425051334</v>
      </c>
      <c r="H31" s="1" t="str">
        <f t="shared" si="1"/>
        <v>Yes</v>
      </c>
    </row>
  </sheetData>
  <autoFilter ref="A1:D31" xr:uid="{F9EE1FB7-7A4E-2F4B-823C-66824B21777B}">
    <sortState xmlns:xlrd2="http://schemas.microsoft.com/office/spreadsheetml/2017/richdata2" ref="A2:D31">
      <sortCondition ref="A1:A31"/>
    </sortState>
  </autoFilter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2019-10-25T11:33:50Z</cp:lastPrinted>
  <dcterms:created xsi:type="dcterms:W3CDTF">2019-10-24T10:51:59Z</dcterms:created>
  <dcterms:modified xsi:type="dcterms:W3CDTF">2019-10-25T11:44:15Z</dcterms:modified>
</cp:coreProperties>
</file>