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windie/Documents/PycharmProjects/PASCO/"/>
    </mc:Choice>
  </mc:AlternateContent>
  <xr:revisionPtr revIDLastSave="0" documentId="13_ncr:1_{10D40E02-30DF-C34D-A5E8-62FEB0160421}" xr6:coauthVersionLast="45" xr6:coauthVersionMax="45" xr10:uidLastSave="{00000000-0000-0000-0000-000000000000}"/>
  <bookViews>
    <workbookView xWindow="0" yWindow="0" windowWidth="28800" windowHeight="18000" activeTab="3" xr2:uid="{00000000-000D-0000-FFFF-FFFF00000000}"/>
  </bookViews>
  <sheets>
    <sheet name="DJ_median" sheetId="1" r:id="rId1"/>
    <sheet name="工作表2" sheetId="3" r:id="rId2"/>
    <sheet name="工作表1" sheetId="2" r:id="rId3"/>
    <sheet name="工作表3" sheetId="4" r:id="rId4"/>
  </sheets>
  <definedNames>
    <definedName name="_xlnm._FilterDatabase" localSheetId="0" hidden="1">DJ_median!$A$1:$D$53</definedName>
    <definedName name="_xlnm._FilterDatabase" localSheetId="1" hidden="1">工作表2!$A$1:$G$29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9" i="3" l="1"/>
  <c r="D28" i="3"/>
  <c r="C29" i="3"/>
  <c r="C28" i="3"/>
  <c r="B22" i="3"/>
  <c r="B8" i="3"/>
  <c r="B5" i="3"/>
  <c r="B15" i="3"/>
  <c r="B7" i="3"/>
  <c r="B2" i="3"/>
  <c r="B20" i="3"/>
  <c r="B11" i="3"/>
  <c r="B17" i="3"/>
  <c r="B26" i="3"/>
  <c r="B14" i="3"/>
  <c r="B16" i="3"/>
  <c r="B9" i="3"/>
  <c r="B6" i="3"/>
  <c r="B18" i="3"/>
  <c r="B24" i="3"/>
  <c r="B10" i="3"/>
  <c r="B21" i="3"/>
  <c r="B23" i="3"/>
  <c r="B12" i="3"/>
  <c r="B19" i="3"/>
  <c r="B27" i="3"/>
  <c r="B13" i="3"/>
  <c r="B3" i="3"/>
  <c r="B25" i="3"/>
  <c r="B4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2" i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H2" i="2"/>
  <c r="I2" i="2" s="1"/>
  <c r="E16" i="3" l="1"/>
  <c r="F22" i="3"/>
  <c r="F3" i="3"/>
  <c r="F24" i="3"/>
  <c r="F11" i="3"/>
  <c r="F27" i="3"/>
  <c r="F6" i="3"/>
  <c r="F2" i="3"/>
  <c r="F12" i="3"/>
  <c r="F16" i="3"/>
  <c r="F15" i="3"/>
  <c r="E8" i="3"/>
  <c r="F4" i="3"/>
  <c r="F21" i="3"/>
  <c r="F26" i="3"/>
  <c r="F8" i="3"/>
  <c r="E25" i="3"/>
  <c r="E13" i="3"/>
  <c r="E19" i="3"/>
  <c r="E23" i="3"/>
  <c r="E10" i="3"/>
  <c r="E18" i="3"/>
  <c r="E9" i="3"/>
  <c r="E14" i="3"/>
  <c r="E17" i="3"/>
  <c r="E20" i="3"/>
  <c r="E7" i="3"/>
  <c r="E5" i="3"/>
  <c r="E22" i="3"/>
  <c r="E4" i="3"/>
  <c r="G4" i="3" s="1"/>
  <c r="E3" i="3"/>
  <c r="E27" i="3"/>
  <c r="E12" i="3"/>
  <c r="G12" i="3" s="1"/>
  <c r="E21" i="3"/>
  <c r="G21" i="3" s="1"/>
  <c r="E24" i="3"/>
  <c r="E6" i="3"/>
  <c r="E26" i="3"/>
  <c r="E11" i="3"/>
  <c r="G11" i="3" s="1"/>
  <c r="E2" i="3"/>
  <c r="E15" i="3"/>
  <c r="F25" i="3"/>
  <c r="F13" i="3"/>
  <c r="F19" i="3"/>
  <c r="F23" i="3"/>
  <c r="F10" i="3"/>
  <c r="F18" i="3"/>
  <c r="F9" i="3"/>
  <c r="F14" i="3"/>
  <c r="F17" i="3"/>
  <c r="F20" i="3"/>
  <c r="F7" i="3"/>
  <c r="F5" i="3"/>
  <c r="G15" i="3" l="1"/>
  <c r="G3" i="3"/>
  <c r="G6" i="3"/>
  <c r="G27" i="3"/>
  <c r="G24" i="3"/>
  <c r="G9" i="3"/>
  <c r="G5" i="3"/>
  <c r="G14" i="3"/>
  <c r="G23" i="3"/>
  <c r="G8" i="3"/>
  <c r="G2" i="3"/>
  <c r="G7" i="3"/>
  <c r="G19" i="3"/>
  <c r="G20" i="3"/>
  <c r="G18" i="3"/>
  <c r="G13" i="3"/>
  <c r="G26" i="3"/>
  <c r="G22" i="3"/>
  <c r="G17" i="3"/>
  <c r="G10" i="3"/>
  <c r="G25" i="3"/>
  <c r="G16" i="3"/>
</calcChain>
</file>

<file path=xl/sharedStrings.xml><?xml version="1.0" encoding="utf-8"?>
<sst xmlns="http://schemas.openxmlformats.org/spreadsheetml/2006/main" count="164" uniqueCount="103">
  <si>
    <t>Subject</t>
  </si>
  <si>
    <t>Style</t>
  </si>
  <si>
    <t>Jump Height (Flight)</t>
  </si>
  <si>
    <t>SF</t>
  </si>
  <si>
    <t>ST</t>
  </si>
  <si>
    <t>No.</t>
    <phoneticPr fontId="18" type="noConversion"/>
  </si>
  <si>
    <t>中文全名</t>
  </si>
  <si>
    <t>身高</t>
    <phoneticPr fontId="18" type="noConversion"/>
  </si>
  <si>
    <t>體重</t>
    <phoneticPr fontId="18" type="noConversion"/>
  </si>
  <si>
    <t>D.O.B.</t>
    <phoneticPr fontId="18" type="noConversion"/>
  </si>
  <si>
    <t>Date of Test</t>
    <phoneticPr fontId="18" type="noConversion"/>
  </si>
  <si>
    <t>Age</t>
    <phoneticPr fontId="18" type="noConversion"/>
  </si>
  <si>
    <t>Under 20</t>
    <phoneticPr fontId="18" type="noConversion"/>
  </si>
  <si>
    <t>巫柏毅</t>
  </si>
  <si>
    <t>1997/11/07</t>
  </si>
  <si>
    <t>張晏齊</t>
  </si>
  <si>
    <t>2002/06/21</t>
  </si>
  <si>
    <t>胡育鴻</t>
  </si>
  <si>
    <t>1998/02/28</t>
  </si>
  <si>
    <t>胡元勳</t>
  </si>
  <si>
    <t>2000/05/02</t>
  </si>
  <si>
    <t>古蕓祥</t>
  </si>
  <si>
    <t>1999/04/21</t>
  </si>
  <si>
    <t>林誌豪</t>
  </si>
  <si>
    <t>2003/07/06</t>
  </si>
  <si>
    <t>卓柏陞</t>
  </si>
  <si>
    <t>2002/07/09</t>
  </si>
  <si>
    <t>林彥銘</t>
  </si>
  <si>
    <t>2000/09/28</t>
  </si>
  <si>
    <t>曹佑齊</t>
  </si>
  <si>
    <t>1996/03/30</t>
  </si>
  <si>
    <t>彭献文</t>
  </si>
  <si>
    <t>2002/08/04</t>
  </si>
  <si>
    <t>段仁瑋</t>
  </si>
  <si>
    <t>2000/06/18</t>
  </si>
  <si>
    <t>蕭宗翰</t>
  </si>
  <si>
    <t>2002/02/09</t>
  </si>
  <si>
    <t>温庭新</t>
  </si>
  <si>
    <t>1992/04/02</t>
  </si>
  <si>
    <t>高勤昊</t>
  </si>
  <si>
    <t>1999/09/13</t>
  </si>
  <si>
    <t>沈宗逸</t>
  </si>
  <si>
    <t>1998/08/21</t>
  </si>
  <si>
    <t>李威岑</t>
  </si>
  <si>
    <t>1998/07/28</t>
  </si>
  <si>
    <t>黃宜夆</t>
  </si>
  <si>
    <t>2000/12/09</t>
  </si>
  <si>
    <t>林書正</t>
  </si>
  <si>
    <t>1996/01/30</t>
  </si>
  <si>
    <t>黃興文</t>
  </si>
  <si>
    <t>2001/08/05</t>
  </si>
  <si>
    <t>邱秉睿</t>
  </si>
  <si>
    <t>1999/03/23</t>
  </si>
  <si>
    <t>鍾聖恩</t>
  </si>
  <si>
    <t>1998/05/01</t>
  </si>
  <si>
    <t>陳育褘</t>
  </si>
  <si>
    <t>王建升</t>
  </si>
  <si>
    <t>1996/01/13</t>
  </si>
  <si>
    <t>粘朝欽</t>
  </si>
  <si>
    <t>2000/01/27</t>
  </si>
  <si>
    <t>陳昱綸</t>
  </si>
  <si>
    <t>2000/04/02</t>
  </si>
  <si>
    <t>蕭煒璁</t>
  </si>
  <si>
    <t>2002/12/14</t>
  </si>
  <si>
    <t>陳彥均</t>
  </si>
  <si>
    <t>1998/06/18</t>
  </si>
  <si>
    <t>李易庭</t>
  </si>
  <si>
    <t>2002/01/22</t>
  </si>
  <si>
    <t>陳國賢</t>
  </si>
  <si>
    <t>王中成</t>
  </si>
  <si>
    <t>2002/05/04</t>
  </si>
  <si>
    <t>No. Real</t>
    <phoneticPr fontId="18" type="noConversion"/>
  </si>
  <si>
    <t>Name</t>
    <phoneticPr fontId="18" type="noConversion"/>
  </si>
  <si>
    <t>Mean</t>
    <phoneticPr fontId="18" type="noConversion"/>
  </si>
  <si>
    <t>S.D.</t>
    <phoneticPr fontId="18" type="noConversion"/>
  </si>
  <si>
    <t>Soft Jump</t>
    <phoneticPr fontId="18" type="noConversion"/>
  </si>
  <si>
    <t>Stiff Jump</t>
    <phoneticPr fontId="18" type="noConversion"/>
  </si>
  <si>
    <t>Z_Soft</t>
    <phoneticPr fontId="18" type="noConversion"/>
  </si>
  <si>
    <t>Z_Stiff</t>
    <phoneticPr fontId="18" type="noConversion"/>
  </si>
  <si>
    <t>Classification</t>
    <phoneticPr fontId="18" type="noConversion"/>
  </si>
  <si>
    <t>Stiff Drop Jump</t>
    <phoneticPr fontId="18" type="noConversion"/>
  </si>
  <si>
    <t>Soft Drop Jump</t>
    <phoneticPr fontId="18" type="noConversion"/>
  </si>
  <si>
    <t>Good</t>
    <phoneticPr fontId="18" type="noConversion"/>
  </si>
  <si>
    <t>Poor</t>
    <phoneticPr fontId="18" type="noConversion"/>
  </si>
  <si>
    <t>Power</t>
    <phoneticPr fontId="18" type="noConversion"/>
  </si>
  <si>
    <t>Eccentric strength / RFD</t>
    <phoneticPr fontId="18" type="noConversion"/>
  </si>
  <si>
    <t>Weak</t>
    <phoneticPr fontId="18" type="noConversion"/>
  </si>
  <si>
    <t>Ball speed / Acceleration</t>
    <phoneticPr fontId="18" type="noConversion"/>
  </si>
  <si>
    <t>All-around</t>
    <phoneticPr fontId="18" type="noConversion"/>
  </si>
  <si>
    <t>Change of direction / Braking</t>
    <phoneticPr fontId="18" type="noConversion"/>
  </si>
  <si>
    <t>Average</t>
    <phoneticPr fontId="18" type="noConversion"/>
  </si>
  <si>
    <t>Normal to strong in every aspect</t>
    <phoneticPr fontId="18" type="noConversion"/>
  </si>
  <si>
    <t>Strength: e.g. squat, deadlift</t>
    <phoneticPr fontId="18" type="noConversion"/>
  </si>
  <si>
    <t>Power: e.g. jump squat, weightlifting derivatives</t>
    <phoneticPr fontId="18" type="noConversion"/>
  </si>
  <si>
    <t>Plyometrics: bounding, jumping, depth drop</t>
    <phoneticPr fontId="18" type="noConversion"/>
  </si>
  <si>
    <t>Following periodization developing fitness</t>
    <phoneticPr fontId="18" type="noConversion"/>
  </si>
  <si>
    <r>
      <rPr>
        <sz val="12"/>
        <color theme="1"/>
        <rFont val="新細明體"/>
        <family val="2"/>
        <charset val="136"/>
      </rPr>
      <t>王建升
胡育鴻
巫柏毅
陳彥均
高勤昊
沈宗逸
胡元勳
林書正
温庭新</t>
    </r>
    <phoneticPr fontId="18" type="noConversion"/>
  </si>
  <si>
    <r>
      <rPr>
        <sz val="12"/>
        <color theme="1"/>
        <rFont val="新細明體"/>
        <family val="2"/>
        <charset val="136"/>
      </rPr>
      <t>鍾聖恩
陳育褘</t>
    </r>
    <phoneticPr fontId="18" type="noConversion"/>
  </si>
  <si>
    <r>
      <rPr>
        <sz val="12"/>
        <color theme="1"/>
        <rFont val="新細明體"/>
        <family val="2"/>
        <charset val="136"/>
      </rPr>
      <t>陳昱綸
李易庭</t>
    </r>
    <phoneticPr fontId="18" type="noConversion"/>
  </si>
  <si>
    <r>
      <rPr>
        <sz val="12"/>
        <color theme="1"/>
        <rFont val="新細明體"/>
        <family val="2"/>
        <charset val="136"/>
      </rPr>
      <t>段仁瑋
林彥銘
蕭煒璁
黃宜夆
邱秉睿
卓柏陞
彭献文
王中成
曹佑齊
蕭宗翰
張晏齊
黃興文
林誌豪</t>
    </r>
    <phoneticPr fontId="18" type="noConversion"/>
  </si>
  <si>
    <t>Strength</t>
    <phoneticPr fontId="18" type="noConversion"/>
  </si>
  <si>
    <t>Players</t>
    <phoneticPr fontId="18" type="noConversion"/>
  </si>
  <si>
    <t>S&amp;C
focus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</si>
</sst>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/yy;@"/>
  </numFmts>
  <fonts count="2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Helvetica Neue"/>
      <family val="2"/>
    </font>
    <font>
      <sz val="12"/>
      <color theme="1"/>
      <name val="新細明體"/>
      <family val="2"/>
      <charset val="136"/>
    </font>
    <font>
      <b/>
      <sz val="12"/>
      <color theme="1"/>
      <name val="Helvetica Neue"/>
      <family val="2"/>
    </font>
    <font>
      <sz val="9"/>
      <color theme="1"/>
      <name val="Helvetica Neue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10" xfId="0" applyBorder="1">
      <alignment vertical="center"/>
    </xf>
    <xf numFmtId="176" fontId="0" fillId="0" borderId="10" xfId="0" applyNumberFormat="1" applyBorder="1">
      <alignment vertical="center"/>
    </xf>
    <xf numFmtId="14" fontId="0" fillId="0" borderId="10" xfId="0" applyNumberFormat="1" applyBorder="1">
      <alignment vertical="center"/>
    </xf>
    <xf numFmtId="0" fontId="21" fillId="35" borderId="10" xfId="0" applyFont="1" applyFill="1" applyBorder="1" applyAlignment="1">
      <alignment horizontal="center" vertical="center"/>
    </xf>
    <xf numFmtId="0" fontId="21" fillId="35" borderId="10" xfId="0" applyFont="1" applyFill="1" applyBorder="1" applyAlignment="1">
      <alignment horizontal="center" vertical="center" textRotation="90"/>
    </xf>
    <xf numFmtId="0" fontId="21" fillId="33" borderId="11" xfId="0" applyFont="1" applyFill="1" applyBorder="1" applyAlignment="1">
      <alignment horizontal="center" vertical="center" textRotation="90"/>
    </xf>
    <xf numFmtId="0" fontId="21" fillId="33" borderId="12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 textRotation="90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19" fillId="0" borderId="17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0" xfId="0" applyBorder="1">
      <alignment vertical="center"/>
    </xf>
    <xf numFmtId="0" fontId="22" fillId="0" borderId="11" xfId="0" applyFont="1" applyBorder="1" applyAlignment="1">
      <alignment horizontal="center" vertical="center" textRotation="90"/>
    </xf>
    <xf numFmtId="0" fontId="22" fillId="0" borderId="11" xfId="0" applyFont="1" applyBorder="1" applyAlignment="1">
      <alignment horizontal="center" vertical="center" textRotation="90" wrapText="1"/>
    </xf>
    <xf numFmtId="0" fontId="19" fillId="0" borderId="23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Z-Score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工作表2!$E$1</c:f>
              <c:strCache>
                <c:ptCount val="1"/>
                <c:pt idx="0">
                  <c:v>Z_Soft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工作表2!$B$2:$B$27</c:f>
              <c:strCache>
                <c:ptCount val="13"/>
                <c:pt idx="0">
                  <c:v>段仁瑋</c:v>
                </c:pt>
                <c:pt idx="1">
                  <c:v>林彥銘</c:v>
                </c:pt>
                <c:pt idx="2">
                  <c:v>蕭煒璁</c:v>
                </c:pt>
                <c:pt idx="3">
                  <c:v>黃宜夆</c:v>
                </c:pt>
                <c:pt idx="4">
                  <c:v>邱秉睿</c:v>
                </c:pt>
                <c:pt idx="5">
                  <c:v>卓柏陞</c:v>
                </c:pt>
                <c:pt idx="6">
                  <c:v>彭献文</c:v>
                </c:pt>
                <c:pt idx="7">
                  <c:v>王中成</c:v>
                </c:pt>
                <c:pt idx="8">
                  <c:v>曹佑齊</c:v>
                </c:pt>
                <c:pt idx="9">
                  <c:v>蕭宗翰</c:v>
                </c:pt>
                <c:pt idx="10">
                  <c:v>張晏齊</c:v>
                </c:pt>
                <c:pt idx="11">
                  <c:v>黃興文</c:v>
                </c:pt>
                <c:pt idx="12">
                  <c:v>林誌豪</c:v>
                </c:pt>
              </c:strCache>
            </c:strRef>
          </c:cat>
          <c:val>
            <c:numRef>
              <c:f>工作表2!$E$2:$E$27</c:f>
              <c:numCache>
                <c:formatCode>General</c:formatCode>
                <c:ptCount val="13"/>
                <c:pt idx="0">
                  <c:v>0.17585394499312201</c:v>
                </c:pt>
                <c:pt idx="1">
                  <c:v>-0.57047181436821814</c:v>
                </c:pt>
                <c:pt idx="2">
                  <c:v>-0.82455760206579964</c:v>
                </c:pt>
                <c:pt idx="3">
                  <c:v>1.8140384779545583E-2</c:v>
                </c:pt>
                <c:pt idx="4">
                  <c:v>-0.71655809887608291</c:v>
                </c:pt>
                <c:pt idx="5">
                  <c:v>-0.34687035848885561</c:v>
                </c:pt>
                <c:pt idx="6">
                  <c:v>-1.7202864008638665</c:v>
                </c:pt>
                <c:pt idx="7">
                  <c:v>-0.57047181436821814</c:v>
                </c:pt>
                <c:pt idx="8">
                  <c:v>0.37634991709826843</c:v>
                </c:pt>
                <c:pt idx="9">
                  <c:v>-9.8579575189481322E-2</c:v>
                </c:pt>
                <c:pt idx="10">
                  <c:v>-1.8775527581656843</c:v>
                </c:pt>
                <c:pt idx="11">
                  <c:v>-1.0539540623433685</c:v>
                </c:pt>
                <c:pt idx="12">
                  <c:v>-1.2939529583205498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3-5242-BB23-D3FE0CE1FA7B}"/>
            </c:ext>
          </c:extLst>
        </c:ser>
        <c:ser>
          <c:idx val="1"/>
          <c:order val="1"/>
          <c:tx>
            <c:strRef>
              <c:f>工作表2!$F$1</c:f>
              <c:strCache>
                <c:ptCount val="1"/>
                <c:pt idx="0">
                  <c:v>Z_Stiff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工作表2!$B$2:$B$27</c:f>
              <c:strCache>
                <c:ptCount val="13"/>
                <c:pt idx="0">
                  <c:v>段仁瑋</c:v>
                </c:pt>
                <c:pt idx="1">
                  <c:v>林彥銘</c:v>
                </c:pt>
                <c:pt idx="2">
                  <c:v>蕭煒璁</c:v>
                </c:pt>
                <c:pt idx="3">
                  <c:v>黃宜夆</c:v>
                </c:pt>
                <c:pt idx="4">
                  <c:v>邱秉睿</c:v>
                </c:pt>
                <c:pt idx="5">
                  <c:v>卓柏陞</c:v>
                </c:pt>
                <c:pt idx="6">
                  <c:v>彭献文</c:v>
                </c:pt>
                <c:pt idx="7">
                  <c:v>王中成</c:v>
                </c:pt>
                <c:pt idx="8">
                  <c:v>曹佑齊</c:v>
                </c:pt>
                <c:pt idx="9">
                  <c:v>蕭宗翰</c:v>
                </c:pt>
                <c:pt idx="10">
                  <c:v>張晏齊</c:v>
                </c:pt>
                <c:pt idx="11">
                  <c:v>黃興文</c:v>
                </c:pt>
                <c:pt idx="12">
                  <c:v>林誌豪</c:v>
                </c:pt>
              </c:strCache>
            </c:strRef>
          </c:cat>
          <c:val>
            <c:numRef>
              <c:f>工作表2!$F$2:$F$27</c:f>
              <c:numCache>
                <c:formatCode>General</c:formatCode>
                <c:ptCount val="13"/>
                <c:pt idx="0">
                  <c:v>0.29854832709387519</c:v>
                </c:pt>
                <c:pt idx="1">
                  <c:v>0.11267247225203518</c:v>
                </c:pt>
                <c:pt idx="2">
                  <c:v>-0.20917708285395012</c:v>
                </c:pt>
                <c:pt idx="3">
                  <c:v>-0.22892733266313772</c:v>
                </c:pt>
                <c:pt idx="4">
                  <c:v>-0.24863460042703947</c:v>
                </c:pt>
                <c:pt idx="5">
                  <c:v>-0.3853819775063253</c:v>
                </c:pt>
                <c:pt idx="6">
                  <c:v>-0.59601549043325841</c:v>
                </c:pt>
                <c:pt idx="7">
                  <c:v>-0.67132003377536431</c:v>
                </c:pt>
                <c:pt idx="8">
                  <c:v>-0.76448361693406497</c:v>
                </c:pt>
                <c:pt idx="9">
                  <c:v>-0.78298738742992435</c:v>
                </c:pt>
                <c:pt idx="10">
                  <c:v>-1.300899542110689</c:v>
                </c:pt>
                <c:pt idx="11">
                  <c:v>-1.8935359825222073</c:v>
                </c:pt>
                <c:pt idx="12">
                  <c:v>-2.0635084806080273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3-5242-BB23-D3FE0CE1F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15071215"/>
        <c:axId val="1530714031"/>
      </c:barChart>
      <c:catAx>
        <c:axId val="201507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30714031"/>
        <c:crosses val="autoZero"/>
        <c:auto val="0"/>
        <c:lblAlgn val="ctr"/>
        <c:lblOffset val="100"/>
        <c:noMultiLvlLbl val="0"/>
      </c:catAx>
      <c:valAx>
        <c:axId val="153071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1507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Jump Height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工作表2!$C$1</c:f>
              <c:strCache>
                <c:ptCount val="1"/>
                <c:pt idx="0">
                  <c:v>Soft Jump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工作表2!$B$2:$B$27</c:f>
              <c:strCache>
                <c:ptCount val="13"/>
                <c:pt idx="0">
                  <c:v>段仁瑋</c:v>
                </c:pt>
                <c:pt idx="1">
                  <c:v>林彥銘</c:v>
                </c:pt>
                <c:pt idx="2">
                  <c:v>蕭煒璁</c:v>
                </c:pt>
                <c:pt idx="3">
                  <c:v>黃宜夆</c:v>
                </c:pt>
                <c:pt idx="4">
                  <c:v>邱秉睿</c:v>
                </c:pt>
                <c:pt idx="5">
                  <c:v>卓柏陞</c:v>
                </c:pt>
                <c:pt idx="6">
                  <c:v>彭献文</c:v>
                </c:pt>
                <c:pt idx="7">
                  <c:v>王中成</c:v>
                </c:pt>
                <c:pt idx="8">
                  <c:v>曹佑齊</c:v>
                </c:pt>
                <c:pt idx="9">
                  <c:v>蕭宗翰</c:v>
                </c:pt>
                <c:pt idx="10">
                  <c:v>張晏齊</c:v>
                </c:pt>
                <c:pt idx="11">
                  <c:v>黃興文</c:v>
                </c:pt>
                <c:pt idx="12">
                  <c:v>林誌豪</c:v>
                </c:pt>
              </c:strCache>
            </c:strRef>
          </c:cat>
          <c:val>
            <c:numRef>
              <c:f>工作表2!$C$2:$C$27</c:f>
              <c:numCache>
                <c:formatCode>General</c:formatCode>
                <c:ptCount val="13"/>
                <c:pt idx="0">
                  <c:v>0.34824517398124999</c:v>
                </c:pt>
                <c:pt idx="1">
                  <c:v>0.29914695492499999</c:v>
                </c:pt>
                <c:pt idx="2">
                  <c:v>0.28243151999999999</c:v>
                </c:pt>
                <c:pt idx="3">
                  <c:v>0.33786973828125</c:v>
                </c:pt>
                <c:pt idx="4">
                  <c:v>0.289536437924999</c:v>
                </c:pt>
                <c:pt idx="5">
                  <c:v>0.31385692992500003</c:v>
                </c:pt>
                <c:pt idx="6">
                  <c:v>0.22350458598125</c:v>
                </c:pt>
                <c:pt idx="7">
                  <c:v>0.29914695492499999</c:v>
                </c:pt>
                <c:pt idx="8">
                  <c:v>0.36143511823124902</c:v>
                </c:pt>
                <c:pt idx="9">
                  <c:v>0.33019113133125</c:v>
                </c:pt>
                <c:pt idx="10">
                  <c:v>0.21315857023125001</c:v>
                </c:pt>
                <c:pt idx="11">
                  <c:v>0.26734031148124998</c:v>
                </c:pt>
                <c:pt idx="12">
                  <c:v>0.25155160498125001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6-D34D-BFF5-73925E41CAEE}"/>
            </c:ext>
          </c:extLst>
        </c:ser>
        <c:ser>
          <c:idx val="1"/>
          <c:order val="1"/>
          <c:tx>
            <c:strRef>
              <c:f>工作表2!$D$1</c:f>
              <c:strCache>
                <c:ptCount val="1"/>
                <c:pt idx="0">
                  <c:v>Stiff Jump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工作表2!$B$2:$B$27</c:f>
              <c:strCache>
                <c:ptCount val="13"/>
                <c:pt idx="0">
                  <c:v>段仁瑋</c:v>
                </c:pt>
                <c:pt idx="1">
                  <c:v>林彥銘</c:v>
                </c:pt>
                <c:pt idx="2">
                  <c:v>蕭煒璁</c:v>
                </c:pt>
                <c:pt idx="3">
                  <c:v>黃宜夆</c:v>
                </c:pt>
                <c:pt idx="4">
                  <c:v>邱秉睿</c:v>
                </c:pt>
                <c:pt idx="5">
                  <c:v>卓柏陞</c:v>
                </c:pt>
                <c:pt idx="6">
                  <c:v>彭献文</c:v>
                </c:pt>
                <c:pt idx="7">
                  <c:v>王中成</c:v>
                </c:pt>
                <c:pt idx="8">
                  <c:v>曹佑齊</c:v>
                </c:pt>
                <c:pt idx="9">
                  <c:v>蕭宗翰</c:v>
                </c:pt>
                <c:pt idx="10">
                  <c:v>張晏齊</c:v>
                </c:pt>
                <c:pt idx="11">
                  <c:v>黃興文</c:v>
                </c:pt>
                <c:pt idx="12">
                  <c:v>林誌豪</c:v>
                </c:pt>
              </c:strCache>
            </c:strRef>
          </c:cat>
          <c:val>
            <c:numRef>
              <c:f>工作表2!$D$2:$D$27</c:f>
              <c:numCache>
                <c:formatCode>General</c:formatCode>
                <c:ptCount val="13"/>
                <c:pt idx="0">
                  <c:v>0.288346155781249</c:v>
                </c:pt>
                <c:pt idx="1">
                  <c:v>0.27774394130000002</c:v>
                </c:pt>
                <c:pt idx="2">
                  <c:v>0.25938589249999999</c:v>
                </c:pt>
                <c:pt idx="3">
                  <c:v>0.25825935358125002</c:v>
                </c:pt>
                <c:pt idx="4">
                  <c:v>0.257135266325</c:v>
                </c:pt>
                <c:pt idx="5">
                  <c:v>0.24933530208124999</c:v>
                </c:pt>
                <c:pt idx="6">
                  <c:v>0.23732093000000001</c:v>
                </c:pt>
                <c:pt idx="7">
                  <c:v>0.23302561729999999</c:v>
                </c:pt>
                <c:pt idx="8">
                  <c:v>0.22771163883124901</c:v>
                </c:pt>
                <c:pt idx="9">
                  <c:v>0.22665619812500001</c:v>
                </c:pt>
                <c:pt idx="10">
                  <c:v>0.19711489083125</c:v>
                </c:pt>
                <c:pt idx="11">
                  <c:v>0.16331136828124901</c:v>
                </c:pt>
                <c:pt idx="12">
                  <c:v>0.15361626892499899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96-D34D-BFF5-73925E41C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15071215"/>
        <c:axId val="1530714031"/>
      </c:barChart>
      <c:catAx>
        <c:axId val="201507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30714031"/>
        <c:crosses val="autoZero"/>
        <c:auto val="0"/>
        <c:lblAlgn val="ctr"/>
        <c:lblOffset val="100"/>
        <c:noMultiLvlLbl val="0"/>
      </c:catAx>
      <c:valAx>
        <c:axId val="1530714031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1507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684892</xdr:colOff>
      <xdr:row>13</xdr:row>
      <xdr:rowOff>181879</xdr:rowOff>
    </xdr:from>
    <xdr:to>
      <xdr:col>23</xdr:col>
      <xdr:colOff>127000</xdr:colOff>
      <xdr:row>28</xdr:row>
      <xdr:rowOff>143935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5BFFF82-34E6-0E4D-9FDF-9DFDCEC2B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702733</xdr:colOff>
      <xdr:row>29</xdr:row>
      <xdr:rowOff>143933</xdr:rowOff>
    </xdr:from>
    <xdr:to>
      <xdr:col>23</xdr:col>
      <xdr:colOff>144841</xdr:colOff>
      <xdr:row>44</xdr:row>
      <xdr:rowOff>105989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FB83AB7B-BF2D-F447-9E7D-BF26605D1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zoomScale="193" workbookViewId="0">
      <selection activeCell="D28" sqref="D28:D53"/>
    </sheetView>
  </sheetViews>
  <sheetFormatPr baseColWidth="10" defaultRowHeight="15"/>
  <sheetData>
    <row r="1" spans="1:4">
      <c r="A1" t="s">
        <v>0</v>
      </c>
      <c r="B1" t="s">
        <v>72</v>
      </c>
      <c r="C1" t="s">
        <v>1</v>
      </c>
      <c r="D1" t="s">
        <v>2</v>
      </c>
    </row>
    <row r="2" spans="1:4">
      <c r="A2">
        <v>1</v>
      </c>
      <c r="B2" t="str">
        <f>VLOOKUP(A2, 工作表1!A:C, 3, FALSE)</f>
        <v>巫柏毅</v>
      </c>
      <c r="C2" t="s">
        <v>3</v>
      </c>
      <c r="D2">
        <v>0.381679721325</v>
      </c>
    </row>
    <row r="3" spans="1:4">
      <c r="A3">
        <v>2</v>
      </c>
      <c r="B3" t="str">
        <f>VLOOKUP(A3, 工作表1!A:C, 3, FALSE)</f>
        <v>張晏齊</v>
      </c>
      <c r="C3" t="s">
        <v>3</v>
      </c>
      <c r="D3">
        <v>0.21315857023125001</v>
      </c>
    </row>
    <row r="4" spans="1:4">
      <c r="A4">
        <v>3</v>
      </c>
      <c r="B4" t="str">
        <f>VLOOKUP(A4, 工作表1!A:C, 3, FALSE)</f>
        <v>胡育鴻</v>
      </c>
      <c r="C4" t="s">
        <v>3</v>
      </c>
      <c r="D4">
        <v>0.44868488328125</v>
      </c>
    </row>
    <row r="5" spans="1:4">
      <c r="A5">
        <v>4</v>
      </c>
      <c r="B5" t="str">
        <f>VLOOKUP(A5, 工作表1!A:C, 3, FALSE)</f>
        <v>胡元勳</v>
      </c>
      <c r="C5" t="s">
        <v>3</v>
      </c>
      <c r="D5">
        <v>0.38442068000000001</v>
      </c>
    </row>
    <row r="6" spans="1:4">
      <c r="A6">
        <v>5</v>
      </c>
      <c r="B6" t="str">
        <f>VLOOKUP(A6, 工作表1!A:C, 3, FALSE)</f>
        <v>林誌豪</v>
      </c>
      <c r="C6" t="s">
        <v>3</v>
      </c>
      <c r="D6">
        <v>0.25155160498125001</v>
      </c>
    </row>
    <row r="7" spans="1:4">
      <c r="A7">
        <v>6</v>
      </c>
      <c r="B7" t="str">
        <f>VLOOKUP(A7, 工作表1!A:C, 3, FALSE)</f>
        <v>卓柏陞</v>
      </c>
      <c r="C7" t="s">
        <v>3</v>
      </c>
      <c r="D7">
        <v>0.31385692992500003</v>
      </c>
    </row>
    <row r="8" spans="1:4">
      <c r="A8">
        <v>7</v>
      </c>
      <c r="B8" t="str">
        <f>VLOOKUP(A8, 工作表1!A:C, 3, FALSE)</f>
        <v>林彥銘</v>
      </c>
      <c r="C8" t="s">
        <v>3</v>
      </c>
      <c r="D8">
        <v>0.29914695492499999</v>
      </c>
    </row>
    <row r="9" spans="1:4">
      <c r="A9">
        <v>8</v>
      </c>
      <c r="B9" t="str">
        <f>VLOOKUP(A9, 工作表1!A:C, 3, FALSE)</f>
        <v>曹佑齊</v>
      </c>
      <c r="C9" t="s">
        <v>3</v>
      </c>
      <c r="D9">
        <v>0.36143511823124902</v>
      </c>
    </row>
    <row r="10" spans="1:4">
      <c r="A10">
        <v>9</v>
      </c>
      <c r="B10" t="str">
        <f>VLOOKUP(A10, 工作表1!A:C, 3, FALSE)</f>
        <v>彭献文</v>
      </c>
      <c r="C10" t="s">
        <v>3</v>
      </c>
      <c r="D10">
        <v>0.22350458598125</v>
      </c>
    </row>
    <row r="11" spans="1:4">
      <c r="A11">
        <v>10</v>
      </c>
      <c r="B11" t="str">
        <f>VLOOKUP(A11, 工作表1!A:C, 3, FALSE)</f>
        <v>段仁瑋</v>
      </c>
      <c r="C11" t="s">
        <v>3</v>
      </c>
      <c r="D11">
        <v>0.34824517398124999</v>
      </c>
    </row>
    <row r="12" spans="1:4">
      <c r="A12">
        <v>11</v>
      </c>
      <c r="B12" t="str">
        <f>VLOOKUP(A12, 工作表1!A:C, 3, FALSE)</f>
        <v>蕭宗翰</v>
      </c>
      <c r="C12" t="s">
        <v>3</v>
      </c>
      <c r="D12">
        <v>0.33019113133125</v>
      </c>
    </row>
    <row r="13" spans="1:4">
      <c r="A13">
        <v>12</v>
      </c>
      <c r="B13" t="str">
        <f>VLOOKUP(A13, 工作表1!A:C, 3, FALSE)</f>
        <v>温庭新</v>
      </c>
      <c r="C13" t="s">
        <v>3</v>
      </c>
      <c r="D13">
        <v>0.3735156852</v>
      </c>
    </row>
    <row r="14" spans="1:4">
      <c r="A14">
        <v>13</v>
      </c>
      <c r="B14" t="str">
        <f>VLOOKUP(A14, 工作表1!A:C, 3, FALSE)</f>
        <v>高勤昊</v>
      </c>
      <c r="C14" t="s">
        <v>3</v>
      </c>
      <c r="D14">
        <v>0.36410252703125001</v>
      </c>
    </row>
    <row r="15" spans="1:4">
      <c r="A15">
        <v>14</v>
      </c>
      <c r="B15" t="str">
        <f>VLOOKUP(A15, 工作表1!A:C, 3, FALSE)</f>
        <v>沈宗逸</v>
      </c>
      <c r="C15" t="s">
        <v>3</v>
      </c>
      <c r="D15">
        <v>0.34303784283124999</v>
      </c>
    </row>
    <row r="16" spans="1:4">
      <c r="A16">
        <v>15</v>
      </c>
      <c r="B16" t="str">
        <f>VLOOKUP(A16, 工作表1!A:C, 3, FALSE)</f>
        <v>黃宜夆</v>
      </c>
      <c r="C16" t="s">
        <v>3</v>
      </c>
      <c r="D16">
        <v>0.33786973828125</v>
      </c>
    </row>
    <row r="17" spans="1:4">
      <c r="A17">
        <v>16</v>
      </c>
      <c r="B17" t="str">
        <f>VLOOKUP(A17, 工作表1!A:C, 3, FALSE)</f>
        <v>林書正</v>
      </c>
      <c r="C17" t="s">
        <v>3</v>
      </c>
      <c r="D17">
        <v>0.3735156852</v>
      </c>
    </row>
    <row r="18" spans="1:4">
      <c r="A18">
        <v>17</v>
      </c>
      <c r="B18" t="str">
        <f>VLOOKUP(A18, 工作表1!A:C, 3, FALSE)</f>
        <v>黃興文</v>
      </c>
      <c r="C18" t="s">
        <v>3</v>
      </c>
      <c r="D18">
        <v>0.26734031148124998</v>
      </c>
    </row>
    <row r="19" spans="1:4">
      <c r="A19">
        <v>18</v>
      </c>
      <c r="B19" t="str">
        <f>VLOOKUP(A19, 工作表1!A:C, 3, FALSE)</f>
        <v>邱秉睿</v>
      </c>
      <c r="C19" t="s">
        <v>3</v>
      </c>
      <c r="D19">
        <v>0.289536437924999</v>
      </c>
    </row>
    <row r="20" spans="1:4">
      <c r="A20">
        <v>19</v>
      </c>
      <c r="B20" t="str">
        <f>VLOOKUP(A20, 工作表1!A:C, 3, FALSE)</f>
        <v>鍾聖恩</v>
      </c>
      <c r="C20" t="s">
        <v>3</v>
      </c>
      <c r="D20">
        <v>0.46213347792499998</v>
      </c>
    </row>
    <row r="21" spans="1:4">
      <c r="A21">
        <v>20</v>
      </c>
      <c r="B21" t="str">
        <f>VLOOKUP(A21, 工作表1!A:C, 3, FALSE)</f>
        <v>陳育褘</v>
      </c>
      <c r="C21" t="s">
        <v>3</v>
      </c>
      <c r="D21">
        <v>0.3735156852</v>
      </c>
    </row>
    <row r="22" spans="1:4">
      <c r="A22">
        <v>21</v>
      </c>
      <c r="B22" t="str">
        <f>VLOOKUP(A22, 工作表1!A:C, 3, FALSE)</f>
        <v>王建升</v>
      </c>
      <c r="C22" t="s">
        <v>3</v>
      </c>
      <c r="D22">
        <v>0.47425449732500002</v>
      </c>
    </row>
    <row r="23" spans="1:4">
      <c r="A23">
        <v>22</v>
      </c>
      <c r="B23" t="str">
        <f>VLOOKUP(A23, 工作表1!A:C, 3, FALSE)</f>
        <v>陳昱綸</v>
      </c>
      <c r="C23" t="s">
        <v>3</v>
      </c>
      <c r="D23">
        <v>0.31509869698124998</v>
      </c>
    </row>
    <row r="24" spans="1:4">
      <c r="A24">
        <v>23</v>
      </c>
      <c r="B24" t="str">
        <f>VLOOKUP(A24, 工作表1!A:C, 3, FALSE)</f>
        <v>蕭煒璁</v>
      </c>
      <c r="C24" t="s">
        <v>3</v>
      </c>
      <c r="D24">
        <v>0.28243151999999999</v>
      </c>
    </row>
    <row r="25" spans="1:4">
      <c r="A25">
        <v>24</v>
      </c>
      <c r="B25" t="str">
        <f>VLOOKUP(A25, 工作表1!A:C, 3, FALSE)</f>
        <v>陳彥均</v>
      </c>
      <c r="C25" t="s">
        <v>3</v>
      </c>
      <c r="D25">
        <v>0.37487022873124998</v>
      </c>
    </row>
    <row r="26" spans="1:4">
      <c r="A26">
        <v>25</v>
      </c>
      <c r="B26" t="str">
        <f>VLOOKUP(A26, 工作表1!A:C, 3, FALSE)</f>
        <v>李易庭</v>
      </c>
      <c r="C26" t="s">
        <v>3</v>
      </c>
      <c r="D26">
        <v>0.26734031148124998</v>
      </c>
    </row>
    <row r="27" spans="1:4">
      <c r="A27">
        <v>26</v>
      </c>
      <c r="B27" t="str">
        <f>VLOOKUP(A27, 工作表1!A:C, 3, FALSE)</f>
        <v>王中成</v>
      </c>
      <c r="C27" t="s">
        <v>3</v>
      </c>
      <c r="D27">
        <v>0.29914695492499999</v>
      </c>
    </row>
    <row r="28" spans="1:4">
      <c r="A28">
        <v>1</v>
      </c>
      <c r="B28" t="str">
        <f>VLOOKUP(A28, 工作表1!A:C, 3, FALSE)</f>
        <v>巫柏毅</v>
      </c>
      <c r="C28" t="s">
        <v>4</v>
      </c>
      <c r="D28">
        <v>0.35480950032499903</v>
      </c>
    </row>
    <row r="29" spans="1:4">
      <c r="A29">
        <v>2</v>
      </c>
      <c r="B29" t="str">
        <f>VLOOKUP(A29, 工作表1!A:C, 3, FALSE)</f>
        <v>張晏齊</v>
      </c>
      <c r="C29" t="s">
        <v>4</v>
      </c>
      <c r="D29">
        <v>0.19711489083125</v>
      </c>
    </row>
    <row r="30" spans="1:4">
      <c r="A30">
        <v>3</v>
      </c>
      <c r="B30" t="str">
        <f>VLOOKUP(A30, 工作表1!A:C, 3, FALSE)</f>
        <v>胡育鴻</v>
      </c>
      <c r="C30" t="s">
        <v>4</v>
      </c>
      <c r="D30">
        <v>0.36010509132500002</v>
      </c>
    </row>
    <row r="31" spans="1:4">
      <c r="A31">
        <v>4</v>
      </c>
      <c r="B31" t="str">
        <f>VLOOKUP(A31, 工作表1!A:C, 3, FALSE)</f>
        <v>胡元勳</v>
      </c>
      <c r="C31" t="s">
        <v>4</v>
      </c>
      <c r="D31">
        <v>0.26505536203125002</v>
      </c>
    </row>
    <row r="32" spans="1:4">
      <c r="A32">
        <v>5</v>
      </c>
      <c r="B32" t="str">
        <f>VLOOKUP(A32, 工作表1!A:C, 3, FALSE)</f>
        <v>林誌豪</v>
      </c>
      <c r="C32" t="s">
        <v>4</v>
      </c>
      <c r="D32">
        <v>0.15361626892499899</v>
      </c>
    </row>
    <row r="33" spans="1:4">
      <c r="A33">
        <v>6</v>
      </c>
      <c r="B33" t="str">
        <f>VLOOKUP(A33, 工作表1!A:C, 3, FALSE)</f>
        <v>卓柏陞</v>
      </c>
      <c r="C33" t="s">
        <v>4</v>
      </c>
      <c r="D33">
        <v>0.24933530208124999</v>
      </c>
    </row>
    <row r="34" spans="1:4">
      <c r="A34">
        <v>7</v>
      </c>
      <c r="B34" t="str">
        <f>VLOOKUP(A34, 工作表1!A:C, 3, FALSE)</f>
        <v>林彥銘</v>
      </c>
      <c r="C34" t="s">
        <v>4</v>
      </c>
      <c r="D34">
        <v>0.27774394130000002</v>
      </c>
    </row>
    <row r="35" spans="1:4">
      <c r="A35">
        <v>8</v>
      </c>
      <c r="B35" t="str">
        <f>VLOOKUP(A35, 工作表1!A:C, 3, FALSE)</f>
        <v>曹佑齊</v>
      </c>
      <c r="C35" t="s">
        <v>4</v>
      </c>
      <c r="D35">
        <v>0.22771163883124901</v>
      </c>
    </row>
    <row r="36" spans="1:4">
      <c r="A36">
        <v>9</v>
      </c>
      <c r="B36" t="str">
        <f>VLOOKUP(A36, 工作表1!A:C, 3, FALSE)</f>
        <v>彭献文</v>
      </c>
      <c r="C36" t="s">
        <v>4</v>
      </c>
      <c r="D36">
        <v>0.23732093000000001</v>
      </c>
    </row>
    <row r="37" spans="1:4">
      <c r="A37">
        <v>10</v>
      </c>
      <c r="B37" t="str">
        <f>VLOOKUP(A37, 工作表1!A:C, 3, FALSE)</f>
        <v>段仁瑋</v>
      </c>
      <c r="C37" t="s">
        <v>4</v>
      </c>
      <c r="D37">
        <v>0.288346155781249</v>
      </c>
    </row>
    <row r="38" spans="1:4">
      <c r="A38">
        <v>11</v>
      </c>
      <c r="B38" t="str">
        <f>VLOOKUP(A38, 工作表1!A:C, 3, FALSE)</f>
        <v>蕭宗翰</v>
      </c>
      <c r="C38" t="s">
        <v>4</v>
      </c>
      <c r="D38">
        <v>0.22665619812500001</v>
      </c>
    </row>
    <row r="39" spans="1:4">
      <c r="A39">
        <v>12</v>
      </c>
      <c r="B39" t="str">
        <f>VLOOKUP(A39, 工作表1!A:C, 3, FALSE)</f>
        <v>温庭新</v>
      </c>
      <c r="C39" t="s">
        <v>4</v>
      </c>
      <c r="D39">
        <v>0.25044222770000002</v>
      </c>
    </row>
    <row r="40" spans="1:4">
      <c r="A40">
        <v>13</v>
      </c>
      <c r="B40" t="str">
        <f>VLOOKUP(A40, 工作表1!A:C, 3, FALSE)</f>
        <v>高勤昊</v>
      </c>
      <c r="C40" t="s">
        <v>4</v>
      </c>
      <c r="D40">
        <v>0.34955313592499998</v>
      </c>
    </row>
    <row r="41" spans="1:4">
      <c r="A41">
        <v>14</v>
      </c>
      <c r="B41" t="str">
        <f>VLOOKUP(A41, 工作表1!A:C, 3, FALSE)</f>
        <v>沈宗逸</v>
      </c>
      <c r="C41" t="s">
        <v>4</v>
      </c>
      <c r="D41">
        <v>0.30157410080000002</v>
      </c>
    </row>
    <row r="42" spans="1:4">
      <c r="A42">
        <v>15</v>
      </c>
      <c r="B42" t="str">
        <f>VLOOKUP(A42, 工作表1!A:C, 3, FALSE)</f>
        <v>黃宜夆</v>
      </c>
      <c r="C42" t="s">
        <v>4</v>
      </c>
      <c r="D42">
        <v>0.25825935358125002</v>
      </c>
    </row>
    <row r="43" spans="1:4">
      <c r="A43">
        <v>16</v>
      </c>
      <c r="B43" t="str">
        <f>VLOOKUP(A43, 工作表1!A:C, 3, FALSE)</f>
        <v>林書正</v>
      </c>
      <c r="C43" t="s">
        <v>4</v>
      </c>
      <c r="D43">
        <v>0.26278021923125</v>
      </c>
    </row>
    <row r="44" spans="1:4">
      <c r="A44">
        <v>17</v>
      </c>
      <c r="B44" t="str">
        <f>VLOOKUP(A44, 工作表1!A:C, 3, FALSE)</f>
        <v>黃興文</v>
      </c>
      <c r="C44" t="s">
        <v>4</v>
      </c>
      <c r="D44">
        <v>0.16331136828124901</v>
      </c>
    </row>
    <row r="45" spans="1:4">
      <c r="A45">
        <v>18</v>
      </c>
      <c r="B45" t="str">
        <f>VLOOKUP(A45, 工作表1!A:C, 3, FALSE)</f>
        <v>邱秉睿</v>
      </c>
      <c r="C45" t="s">
        <v>4</v>
      </c>
      <c r="D45">
        <v>0.257135266325</v>
      </c>
    </row>
    <row r="46" spans="1:4">
      <c r="A46">
        <v>19</v>
      </c>
      <c r="B46" t="str">
        <f>VLOOKUP(A46, 工作表1!A:C, 3, FALSE)</f>
        <v>鍾聖恩</v>
      </c>
      <c r="C46" t="s">
        <v>4</v>
      </c>
      <c r="D46">
        <v>0.28125594783125002</v>
      </c>
    </row>
    <row r="47" spans="1:4">
      <c r="A47">
        <v>20</v>
      </c>
      <c r="B47" t="str">
        <f>VLOOKUP(A47, 工作表1!A:C, 3, FALSE)</f>
        <v>陳育褘</v>
      </c>
      <c r="C47" t="s">
        <v>4</v>
      </c>
      <c r="D47">
        <v>0.24165546930000001</v>
      </c>
    </row>
    <row r="48" spans="1:4">
      <c r="A48">
        <v>21</v>
      </c>
      <c r="B48" t="str">
        <f>VLOOKUP(A48, 工作表1!A:C, 3, FALSE)</f>
        <v>王建升</v>
      </c>
      <c r="C48" t="s">
        <v>4</v>
      </c>
      <c r="D48">
        <v>0.381679721325</v>
      </c>
    </row>
    <row r="49" spans="1:4">
      <c r="A49">
        <v>22</v>
      </c>
      <c r="B49" t="str">
        <f>VLOOKUP(A49, 工作表1!A:C, 3, FALSE)</f>
        <v>陳昱綸</v>
      </c>
      <c r="C49" t="s">
        <v>4</v>
      </c>
      <c r="D49">
        <v>0.32009028183124999</v>
      </c>
    </row>
    <row r="50" spans="1:4">
      <c r="A50">
        <v>23</v>
      </c>
      <c r="B50" t="str">
        <f>VLOOKUP(A50, 工作表1!A:C, 3, FALSE)</f>
        <v>蕭煒璁</v>
      </c>
      <c r="C50" t="s">
        <v>4</v>
      </c>
      <c r="D50">
        <v>0.25938589249999999</v>
      </c>
    </row>
    <row r="51" spans="1:4">
      <c r="A51">
        <v>24</v>
      </c>
      <c r="B51" t="str">
        <f>VLOOKUP(A51, 工作表1!A:C, 3, FALSE)</f>
        <v>陳彥均</v>
      </c>
      <c r="C51" t="s">
        <v>4</v>
      </c>
      <c r="D51">
        <v>0.35349173173124998</v>
      </c>
    </row>
    <row r="52" spans="1:4">
      <c r="A52">
        <v>25</v>
      </c>
      <c r="B52" t="str">
        <f>VLOOKUP(A52, 工作表1!A:C, 3, FALSE)</f>
        <v>李易庭</v>
      </c>
      <c r="C52" t="s">
        <v>4</v>
      </c>
      <c r="D52">
        <v>0.30279135123125001</v>
      </c>
    </row>
    <row r="53" spans="1:4">
      <c r="A53">
        <v>26</v>
      </c>
      <c r="B53" t="str">
        <f>VLOOKUP(A53, 工作表1!A:C, 3, FALSE)</f>
        <v>王中成</v>
      </c>
      <c r="C53" t="s">
        <v>4</v>
      </c>
      <c r="D53">
        <v>0.23302561729999999</v>
      </c>
    </row>
  </sheetData>
  <autoFilter ref="A1:D53" xr:uid="{00000000-0009-0000-0000-000000000000}">
    <sortState xmlns:xlrd2="http://schemas.microsoft.com/office/spreadsheetml/2017/richdata2" ref="A2:D53">
      <sortCondition ref="C2:C53"/>
      <sortCondition ref="A2:A53"/>
    </sortState>
  </autoFilter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29"/>
  <sheetViews>
    <sheetView zoomScale="134" zoomScaleNormal="42" workbookViewId="0">
      <selection activeCell="B10" sqref="B10:B27"/>
    </sheetView>
  </sheetViews>
  <sheetFormatPr baseColWidth="10" defaultRowHeight="15"/>
  <sheetData>
    <row r="1" spans="1:7">
      <c r="A1" t="s">
        <v>5</v>
      </c>
      <c r="B1" t="s">
        <v>72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spans="1:7" hidden="1">
      <c r="A2">
        <v>21</v>
      </c>
      <c r="B2" t="str">
        <f>VLOOKUP(A2, 工作表1!A:C, 3, FALSE)</f>
        <v>王建升</v>
      </c>
      <c r="C2">
        <v>0.47425449732500002</v>
      </c>
      <c r="D2">
        <v>0.381679721325</v>
      </c>
      <c r="E2">
        <f>(C2-C$28)/C$29</f>
        <v>2.0912799164197065</v>
      </c>
      <c r="F2">
        <f>(D2-D$28)/D$29</f>
        <v>1.9348533001317252</v>
      </c>
      <c r="G2" t="str">
        <f>IF(AND(E2&lt;0.5, F2&lt;0.5), "Weak", IF(F2-E2&lt;-1, "Power", IF(F2-E2&gt;1, "Eccentric Strength", "Strong")))</f>
        <v>Strong</v>
      </c>
    </row>
    <row r="3" spans="1:7" hidden="1">
      <c r="A3">
        <v>3</v>
      </c>
      <c r="B3" t="str">
        <f>VLOOKUP(A3, 工作表1!A:C, 3, FALSE)</f>
        <v>胡育鴻</v>
      </c>
      <c r="C3">
        <v>0.44868488328125</v>
      </c>
      <c r="D3">
        <v>0.36010509132500002</v>
      </c>
      <c r="E3">
        <f>(C3-C$28)/C$29</f>
        <v>1.7026046857374051</v>
      </c>
      <c r="F3">
        <f>(D3-D$28)/D$29</f>
        <v>1.5566113016097347</v>
      </c>
      <c r="G3" t="str">
        <f>IF(AND(E3&lt;0.5, F3&lt;0.5), "Weak", IF(F3-E3&lt;-1, "Power", IF(F3-E3&gt;1, "Eccentric Strength", "Strong")))</f>
        <v>Strong</v>
      </c>
    </row>
    <row r="4" spans="1:7" hidden="1">
      <c r="A4">
        <v>1</v>
      </c>
      <c r="B4" t="str">
        <f>VLOOKUP(A4, 工作表1!A:C, 3, FALSE)</f>
        <v>巫柏毅</v>
      </c>
      <c r="C4">
        <v>0.381679721325</v>
      </c>
      <c r="D4">
        <v>0.35480950032499903</v>
      </c>
      <c r="E4">
        <f>(C4-C$28)/C$29</f>
        <v>0.68408142075225509</v>
      </c>
      <c r="F4">
        <f>(D4-D$28)/D$29</f>
        <v>1.4637700837906833</v>
      </c>
      <c r="G4" t="str">
        <f>IF(AND(E4&lt;0.5, F4&lt;0.5), "Weak", IF(F4-E4&lt;-1, "Power", IF(F4-E4&gt;1, "Eccentric Strength", "Strong")))</f>
        <v>Strong</v>
      </c>
    </row>
    <row r="5" spans="1:7" hidden="1">
      <c r="A5">
        <v>24</v>
      </c>
      <c r="B5" t="str">
        <f>VLOOKUP(A5, 工作表1!A:C, 3, FALSE)</f>
        <v>陳彥均</v>
      </c>
      <c r="C5">
        <v>0.37487022873124998</v>
      </c>
      <c r="D5">
        <v>0.35349173173124998</v>
      </c>
      <c r="E5">
        <f>(C5-C$28)/C$29</f>
        <v>0.58057258013476687</v>
      </c>
      <c r="F5">
        <f>(D5-D$28)/D$29</f>
        <v>1.440667234449158</v>
      </c>
      <c r="G5" t="str">
        <f>IF(AND(E5&lt;0.5, F5&lt;0.5), "Weak", IF(F5-E5&lt;-1, "Power", IF(F5-E5&gt;1, "Eccentric Strength", "Strong")))</f>
        <v>Strong</v>
      </c>
    </row>
    <row r="6" spans="1:7" hidden="1">
      <c r="A6">
        <v>13</v>
      </c>
      <c r="B6" t="str">
        <f>VLOOKUP(A6, 工作表1!A:C, 3, FALSE)</f>
        <v>高勤昊</v>
      </c>
      <c r="C6">
        <v>0.36410252703125001</v>
      </c>
      <c r="D6">
        <v>0.34955313592499998</v>
      </c>
      <c r="E6">
        <f>(C6-C$28)/C$29</f>
        <v>0.41689631443107444</v>
      </c>
      <c r="F6">
        <f>(D6-D$28)/D$29</f>
        <v>1.3716165786962513</v>
      </c>
      <c r="G6" t="str">
        <f>IF(AND(E6&lt;0.5, F6&lt;0.5), "Weak", IF(F6-E6&lt;-1, "Power", IF(F6-E6&gt;1, "Eccentric Strength", "Strong")))</f>
        <v>Strong</v>
      </c>
    </row>
    <row r="7" spans="1:7" hidden="1">
      <c r="A7">
        <v>22</v>
      </c>
      <c r="B7" t="str">
        <f>VLOOKUP(A7, 工作表1!A:C, 3, FALSE)</f>
        <v>陳昱綸</v>
      </c>
      <c r="C7">
        <v>0.31509869698124998</v>
      </c>
      <c r="D7">
        <v>0.32009028183124999</v>
      </c>
      <c r="E7">
        <f>(C7-C$28)/C$29</f>
        <v>-0.32799466892170687</v>
      </c>
      <c r="F7">
        <f>(D7-D$28)/D$29</f>
        <v>0.85507984946465798</v>
      </c>
      <c r="G7" t="str">
        <f>IF(AND(E7&lt;0.5, F7&lt;0.5), "Weak", IF(F7-E7&lt;-1, "Power", IF(F7-E7&gt;1, "Eccentric Strength", "Strong")))</f>
        <v>Eccentric Strength</v>
      </c>
    </row>
    <row r="8" spans="1:7" hidden="1">
      <c r="A8">
        <v>25</v>
      </c>
      <c r="B8" t="str">
        <f>VLOOKUP(A8, 工作表1!A:C, 3, FALSE)</f>
        <v>李易庭</v>
      </c>
      <c r="C8">
        <v>0.26734031148124998</v>
      </c>
      <c r="D8">
        <v>0.30279135123125001</v>
      </c>
      <c r="E8">
        <f>(C8-C$28)/C$29</f>
        <v>-1.0539540623433685</v>
      </c>
      <c r="F8">
        <f>(D8-D$28)/D$29</f>
        <v>0.55179853792248024</v>
      </c>
      <c r="G8" t="str">
        <f>IF(AND(E8&lt;0.5, F8&lt;0.5), "Weak", IF(F8-E8&lt;-1, "Power", IF(F8-E8&gt;1, "Eccentric Strength", "Strong")))</f>
        <v>Eccentric Strength</v>
      </c>
    </row>
    <row r="9" spans="1:7" hidden="1">
      <c r="A9">
        <v>14</v>
      </c>
      <c r="B9" t="str">
        <f>VLOOKUP(A9, 工作表1!A:C, 3, FALSE)</f>
        <v>沈宗逸</v>
      </c>
      <c r="C9">
        <v>0.34303784283124999</v>
      </c>
      <c r="D9">
        <v>0.30157410080000002</v>
      </c>
      <c r="E9">
        <f>(C9-C$28)/C$29</f>
        <v>9.6699029611828011E-2</v>
      </c>
      <c r="F9">
        <f>(D9-D$28)/D$29</f>
        <v>0.53045795243768867</v>
      </c>
      <c r="G9" t="str">
        <f>IF(AND(E9&lt;0.5, F9&lt;0.5), "Weak", IF(F9-E9&lt;-1, "Power", IF(F9-E9&gt;1, "Eccentric Strength", "Strong")))</f>
        <v>Strong</v>
      </c>
    </row>
    <row r="10" spans="1:7">
      <c r="A10">
        <v>10</v>
      </c>
      <c r="B10" t="str">
        <f>VLOOKUP(A10, 工作表1!A:C, 3, FALSE)</f>
        <v>段仁瑋</v>
      </c>
      <c r="C10">
        <v>0.34824517398124999</v>
      </c>
      <c r="D10">
        <v>0.288346155781249</v>
      </c>
      <c r="E10">
        <f>(C10-C$28)/C$29</f>
        <v>0.17585394499312201</v>
      </c>
      <c r="F10">
        <f>(D10-D$28)/D$29</f>
        <v>0.29854832709387519</v>
      </c>
      <c r="G10" t="str">
        <f>IF(AND(E10&lt;0.5, F10&lt;0.5), "Weak", IF(F10-E10&lt;-1, "Power", IF(F10-E10&gt;1, "Eccentric Strength", "Strong")))</f>
        <v>Weak</v>
      </c>
    </row>
    <row r="11" spans="1:7" hidden="1">
      <c r="A11">
        <v>19</v>
      </c>
      <c r="B11" t="str">
        <f>VLOOKUP(A11, 工作表1!A:C, 3, FALSE)</f>
        <v>鍾聖恩</v>
      </c>
      <c r="C11">
        <v>0.46213347792499998</v>
      </c>
      <c r="D11">
        <v>0.28125594783125002</v>
      </c>
      <c r="E11">
        <f>(C11-C$28)/C$29</f>
        <v>1.9070323167751113</v>
      </c>
      <c r="F11">
        <f>(D11-D$28)/D$29</f>
        <v>0.17424425212507516</v>
      </c>
      <c r="G11" t="str">
        <f>IF(AND(E11&lt;0.5, F11&lt;0.5), "Weak", IF(F11-E11&lt;-1, "Power", IF(F11-E11&gt;1, "Eccentric Strength", "Strong")))</f>
        <v>Power</v>
      </c>
    </row>
    <row r="12" spans="1:7">
      <c r="A12">
        <v>7</v>
      </c>
      <c r="B12" t="str">
        <f>VLOOKUP(A12, 工作表1!A:C, 3, FALSE)</f>
        <v>林彥銘</v>
      </c>
      <c r="C12">
        <v>0.29914695492499999</v>
      </c>
      <c r="D12">
        <v>0.27774394130000002</v>
      </c>
      <c r="E12">
        <f>(C12-C$28)/C$29</f>
        <v>-0.57047181436821814</v>
      </c>
      <c r="F12">
        <f>(D12-D$28)/D$29</f>
        <v>0.11267247225203518</v>
      </c>
      <c r="G12" t="str">
        <f>IF(AND(E12&lt;0.5, F12&lt;0.5), "Weak", IF(F12-E12&lt;-1, "Power", IF(F12-E12&gt;1, "Eccentric Strength", "Strong")))</f>
        <v>Weak</v>
      </c>
    </row>
    <row r="13" spans="1:7" hidden="1">
      <c r="A13">
        <v>4</v>
      </c>
      <c r="B13" t="str">
        <f>VLOOKUP(A13, 工作表1!A:C, 3, FALSE)</f>
        <v>胡元勳</v>
      </c>
      <c r="C13">
        <v>0.38442068000000001</v>
      </c>
      <c r="D13">
        <v>0.26505536203125002</v>
      </c>
      <c r="E13">
        <f>(C13-C$28)/C$29</f>
        <v>0.7257458253644431</v>
      </c>
      <c r="F13">
        <f>(D13-D$28)/D$29</f>
        <v>-0.10978110312871062</v>
      </c>
      <c r="G13" t="str">
        <f>IF(AND(E13&lt;0.5, F13&lt;0.5), "Weak", IF(F13-E13&lt;-1, "Power", IF(F13-E13&gt;1, "Eccentric Strength", "Strong")))</f>
        <v>Strong</v>
      </c>
    </row>
    <row r="14" spans="1:7" hidden="1">
      <c r="A14">
        <v>16</v>
      </c>
      <c r="B14" t="str">
        <f>VLOOKUP(A14, 工作表1!A:C, 3, FALSE)</f>
        <v>林書正</v>
      </c>
      <c r="C14">
        <v>0.3735156852</v>
      </c>
      <c r="D14">
        <v>0.26278021923125</v>
      </c>
      <c r="E14">
        <f>(C14-C$28)/C$29</f>
        <v>0.55998261273920935</v>
      </c>
      <c r="F14">
        <f>(D14-D$28)/D$29</f>
        <v>-0.14966844115466632</v>
      </c>
      <c r="G14" t="str">
        <f>IF(AND(E14&lt;0.5, F14&lt;0.5), "Weak", IF(F14-E14&lt;-1, "Power", IF(F14-E14&gt;1, "Eccentric Strength", "Strong")))</f>
        <v>Strong</v>
      </c>
    </row>
    <row r="15" spans="1:7">
      <c r="A15">
        <v>23</v>
      </c>
      <c r="B15" t="str">
        <f>VLOOKUP(A15, 工作表1!A:C, 3, FALSE)</f>
        <v>蕭煒璁</v>
      </c>
      <c r="C15">
        <v>0.28243151999999999</v>
      </c>
      <c r="D15">
        <v>0.25938589249999999</v>
      </c>
      <c r="E15">
        <f>(C15-C$28)/C$29</f>
        <v>-0.82455760206579964</v>
      </c>
      <c r="F15">
        <f>(D15-D$28)/D$29</f>
        <v>-0.20917708285395012</v>
      </c>
      <c r="G15" t="str">
        <f>IF(AND(E15&lt;0.5, F15&lt;0.5), "Weak", IF(F15-E15&lt;-1, "Power", IF(F15-E15&gt;1, "Eccentric Strength", "Strong")))</f>
        <v>Weak</v>
      </c>
    </row>
    <row r="16" spans="1:7">
      <c r="A16">
        <v>15</v>
      </c>
      <c r="B16" t="str">
        <f>VLOOKUP(A16, 工作表1!A:C, 3, FALSE)</f>
        <v>黃宜夆</v>
      </c>
      <c r="C16">
        <v>0.33786973828125</v>
      </c>
      <c r="D16">
        <v>0.25825935358125002</v>
      </c>
      <c r="E16">
        <f>(C16-C$28)/C$29</f>
        <v>1.8140384779545583E-2</v>
      </c>
      <c r="F16">
        <f>(D16-D$28)/D$29</f>
        <v>-0.22892733266313772</v>
      </c>
      <c r="G16" t="str">
        <f>IF(AND(E16&lt;0.5, F16&lt;0.5), "Weak", IF(F16-E16&lt;-1, "Power", IF(F16-E16&gt;1, "Eccentric Strength", "Strong")))</f>
        <v>Weak</v>
      </c>
    </row>
    <row r="17" spans="1:7">
      <c r="A17">
        <v>18</v>
      </c>
      <c r="B17" t="str">
        <f>VLOOKUP(A17, 工作表1!A:C, 3, FALSE)</f>
        <v>邱秉睿</v>
      </c>
      <c r="C17">
        <v>0.289536437924999</v>
      </c>
      <c r="D17">
        <v>0.257135266325</v>
      </c>
      <c r="E17">
        <f>(C17-C$28)/C$29</f>
        <v>-0.71655809887608291</v>
      </c>
      <c r="F17">
        <f>(D17-D$28)/D$29</f>
        <v>-0.24863460042703947</v>
      </c>
      <c r="G17" t="str">
        <f>IF(AND(E17&lt;0.5, F17&lt;0.5), "Weak", IF(F17-E17&lt;-1, "Power", IF(F17-E17&gt;1, "Eccentric Strength", "Strong")))</f>
        <v>Weak</v>
      </c>
    </row>
    <row r="18" spans="1:7" hidden="1">
      <c r="A18">
        <v>12</v>
      </c>
      <c r="B18" t="str">
        <f>VLOOKUP(A18, 工作表1!A:C, 3, FALSE)</f>
        <v>温庭新</v>
      </c>
      <c r="C18">
        <v>0.3735156852</v>
      </c>
      <c r="D18">
        <v>0.25044222770000002</v>
      </c>
      <c r="E18">
        <f>(C18-C$28)/C$29</f>
        <v>0.55998261273920935</v>
      </c>
      <c r="F18">
        <f>(D18-D$28)/D$29</f>
        <v>-0.36597558405942943</v>
      </c>
      <c r="G18" t="str">
        <f>IF(AND(E18&lt;0.5, F18&lt;0.5), "Weak", IF(F18-E18&lt;-1, "Power", IF(F18-E18&gt;1, "Eccentric Strength", "Strong")))</f>
        <v>Strong</v>
      </c>
    </row>
    <row r="19" spans="1:7">
      <c r="A19">
        <v>6</v>
      </c>
      <c r="B19" t="str">
        <f>VLOOKUP(A19, 工作表1!A:C, 3, FALSE)</f>
        <v>卓柏陞</v>
      </c>
      <c r="C19">
        <v>0.31385692992500003</v>
      </c>
      <c r="D19">
        <v>0.24933530208124999</v>
      </c>
      <c r="E19">
        <f>(C19-C$28)/C$29</f>
        <v>-0.34687035848885561</v>
      </c>
      <c r="F19">
        <f>(D19-D$28)/D$29</f>
        <v>-0.3853819775063253</v>
      </c>
      <c r="G19" t="str">
        <f>IF(AND(E19&lt;0.5, F19&lt;0.5), "Weak", IF(F19-E19&lt;-1, "Power", IF(F19-E19&gt;1, "Eccentric Strength", "Strong")))</f>
        <v>Weak</v>
      </c>
    </row>
    <row r="20" spans="1:7" hidden="1">
      <c r="A20">
        <v>20</v>
      </c>
      <c r="B20" t="str">
        <f>VLOOKUP(A20, 工作表1!A:C, 3, FALSE)</f>
        <v>陳育褘</v>
      </c>
      <c r="C20">
        <v>0.3735156852</v>
      </c>
      <c r="D20">
        <v>0.24165546930000001</v>
      </c>
      <c r="E20">
        <f>(C20-C$28)/C$29</f>
        <v>0.55998261273920935</v>
      </c>
      <c r="F20">
        <f>(D20-D$28)/D$29</f>
        <v>-0.52002323436656772</v>
      </c>
      <c r="G20" t="str">
        <f>IF(AND(E20&lt;0.5, F20&lt;0.5), "Weak", IF(F20-E20&lt;-1, "Power", IF(F20-E20&gt;1, "Eccentric Strength", "Strong")))</f>
        <v>Power</v>
      </c>
    </row>
    <row r="21" spans="1:7">
      <c r="A21">
        <v>9</v>
      </c>
      <c r="B21" t="str">
        <f>VLOOKUP(A21, 工作表1!A:C, 3, FALSE)</f>
        <v>彭献文</v>
      </c>
      <c r="C21">
        <v>0.22350458598125</v>
      </c>
      <c r="D21">
        <v>0.23732093000000001</v>
      </c>
      <c r="E21">
        <f>(C21-C$28)/C$29</f>
        <v>-1.7202864008638665</v>
      </c>
      <c r="F21">
        <f>(D21-D$28)/D$29</f>
        <v>-0.59601549043325841</v>
      </c>
      <c r="G21" t="str">
        <f>IF(AND(E21&lt;0.5, F21&lt;0.5), "Weak", IF(F21-E21&lt;-1, "Power", IF(F21-E21&gt;1, "Eccentric Strength", "Strong")))</f>
        <v>Weak</v>
      </c>
    </row>
    <row r="22" spans="1:7">
      <c r="A22">
        <v>26</v>
      </c>
      <c r="B22" t="str">
        <f>VLOOKUP(A22, 工作表1!A:C, 3, FALSE)</f>
        <v>王中成</v>
      </c>
      <c r="C22">
        <v>0.29914695492499999</v>
      </c>
      <c r="D22">
        <v>0.23302561729999999</v>
      </c>
      <c r="E22">
        <f>(C22-C$28)/C$29</f>
        <v>-0.57047181436821814</v>
      </c>
      <c r="F22">
        <f>(D22-D$28)/D$29</f>
        <v>-0.67132003377536431</v>
      </c>
      <c r="G22" t="str">
        <f>IF(AND(E22&lt;0.5, F22&lt;0.5), "Weak", IF(F22-E22&lt;-1, "Power", IF(F22-E22&gt;1, "Eccentric Strength", "Strong")))</f>
        <v>Weak</v>
      </c>
    </row>
    <row r="23" spans="1:7">
      <c r="A23">
        <v>8</v>
      </c>
      <c r="B23" t="str">
        <f>VLOOKUP(A23, 工作表1!A:C, 3, FALSE)</f>
        <v>曹佑齊</v>
      </c>
      <c r="C23">
        <v>0.36143511823124902</v>
      </c>
      <c r="D23">
        <v>0.22771163883124901</v>
      </c>
      <c r="E23">
        <f>(C23-C$28)/C$29</f>
        <v>0.37634991709826843</v>
      </c>
      <c r="F23">
        <f>(D23-D$28)/D$29</f>
        <v>-0.76448361693406497</v>
      </c>
      <c r="G23" t="str">
        <f>IF(AND(E23&lt;0.5, F23&lt;0.5), "Weak", IF(F23-E23&lt;-1, "Power", IF(F23-E23&gt;1, "Eccentric Strength", "Strong")))</f>
        <v>Weak</v>
      </c>
    </row>
    <row r="24" spans="1:7">
      <c r="A24">
        <v>11</v>
      </c>
      <c r="B24" t="str">
        <f>VLOOKUP(A24, 工作表1!A:C, 3, FALSE)</f>
        <v>蕭宗翰</v>
      </c>
      <c r="C24">
        <v>0.33019113133125</v>
      </c>
      <c r="D24">
        <v>0.22665619812500001</v>
      </c>
      <c r="E24">
        <f>(C24-C$28)/C$29</f>
        <v>-9.8579575189481322E-2</v>
      </c>
      <c r="F24">
        <f>(D24-D$28)/D$29</f>
        <v>-0.78298738742992435</v>
      </c>
      <c r="G24" t="str">
        <f>IF(AND(E24&lt;0.5, F24&lt;0.5), "Weak", IF(F24-E24&lt;-1, "Power", IF(F24-E24&gt;1, "Eccentric Strength", "Strong")))</f>
        <v>Weak</v>
      </c>
    </row>
    <row r="25" spans="1:7">
      <c r="A25">
        <v>2</v>
      </c>
      <c r="B25" t="str">
        <f>VLOOKUP(A25, 工作表1!A:C, 3, FALSE)</f>
        <v>張晏齊</v>
      </c>
      <c r="C25">
        <v>0.21315857023125001</v>
      </c>
      <c r="D25">
        <v>0.19711489083125</v>
      </c>
      <c r="E25">
        <f>(C25-C$28)/C$29</f>
        <v>-1.8775527581656843</v>
      </c>
      <c r="F25">
        <f>(D25-D$28)/D$29</f>
        <v>-1.300899542110689</v>
      </c>
      <c r="G25" t="str">
        <f>IF(AND(E25&lt;0.5, F25&lt;0.5), "Weak", IF(F25-E25&lt;-1, "Power", IF(F25-E25&gt;1, "Eccentric Strength", "Strong")))</f>
        <v>Weak</v>
      </c>
    </row>
    <row r="26" spans="1:7">
      <c r="A26">
        <v>17</v>
      </c>
      <c r="B26" t="str">
        <f>VLOOKUP(A26, 工作表1!A:C, 3, FALSE)</f>
        <v>黃興文</v>
      </c>
      <c r="C26">
        <v>0.26734031148124998</v>
      </c>
      <c r="D26">
        <v>0.16331136828124901</v>
      </c>
      <c r="E26">
        <f>(C26-C$28)/C$29</f>
        <v>-1.0539540623433685</v>
      </c>
      <c r="F26">
        <f>(D26-D$28)/D$29</f>
        <v>-1.8935359825222073</v>
      </c>
      <c r="G26" t="str">
        <f>IF(AND(E26&lt;0.5, F26&lt;0.5), "Weak", IF(F26-E26&lt;-1, "Power", IF(F26-E26&gt;1, "Eccentric Strength", "Strong")))</f>
        <v>Weak</v>
      </c>
    </row>
    <row r="27" spans="1:7">
      <c r="A27">
        <v>5</v>
      </c>
      <c r="B27" t="str">
        <f>VLOOKUP(A27, 工作表1!A:C, 3, FALSE)</f>
        <v>林誌豪</v>
      </c>
      <c r="C27">
        <v>0.25155160498125001</v>
      </c>
      <c r="D27">
        <v>0.15361626892499899</v>
      </c>
      <c r="E27">
        <f>(C27-C$28)/C$29</f>
        <v>-1.2939529583205498</v>
      </c>
      <c r="F27">
        <f>(D27-D$28)/D$29</f>
        <v>-2.0635084806080273</v>
      </c>
      <c r="G27" t="str">
        <f>IF(AND(E27&lt;0.5, F27&lt;0.5), "Weak", IF(F27-E27&lt;-1, "Power", IF(F27-E27&gt;1, "Eccentric Strength", "Strong")))</f>
        <v>Weak</v>
      </c>
    </row>
    <row r="28" spans="1:7" hidden="1">
      <c r="A28" t="s">
        <v>73</v>
      </c>
      <c r="C28">
        <f>AVERAGE(C$2:C$27)</f>
        <v>0.33667634441201927</v>
      </c>
      <c r="D28">
        <f>AVERAGE(D$2:D$27)</f>
        <v>0.27131719094038442</v>
      </c>
    </row>
    <row r="29" spans="1:7" hidden="1">
      <c r="A29" t="s">
        <v>74</v>
      </c>
      <c r="C29">
        <f>_xlfn.STDEV.P(C$2:C$27)</f>
        <v>6.5786579707854717E-2</v>
      </c>
      <c r="D29">
        <f>_xlfn.STDEV.P(D$2:D$27)</f>
        <v>5.7039223788750329E-2</v>
      </c>
    </row>
  </sheetData>
  <autoFilter ref="A1:G29" xr:uid="{89D3C00D-7B62-0145-BD84-A5E0A420E424}">
    <filterColumn colId="6">
      <filters>
        <filter val="Weak"/>
      </filters>
    </filterColumn>
    <sortState xmlns:xlrd2="http://schemas.microsoft.com/office/spreadsheetml/2017/richdata2" ref="A2:G29">
      <sortCondition descending="1" ref="F1:F29"/>
    </sortState>
  </autoFilter>
  <sortState xmlns:xlrd2="http://schemas.microsoft.com/office/spreadsheetml/2017/richdata2" ref="A2:F29">
    <sortCondition ref="F2:F29"/>
    <sortCondition ref="E2:E29"/>
  </sortState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topLeftCell="A14" zoomScale="191" workbookViewId="0">
      <selection activeCell="D24" sqref="D24"/>
    </sheetView>
  </sheetViews>
  <sheetFormatPr baseColWidth="10" defaultRowHeight="15"/>
  <sheetData>
    <row r="1" spans="1:9">
      <c r="A1" t="s">
        <v>71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>
      <c r="A2">
        <v>1</v>
      </c>
      <c r="B2" s="1">
        <v>1</v>
      </c>
      <c r="C2" s="1" t="s">
        <v>13</v>
      </c>
      <c r="D2" s="1">
        <v>174</v>
      </c>
      <c r="E2" s="1">
        <v>82</v>
      </c>
      <c r="F2" s="2" t="s">
        <v>14</v>
      </c>
      <c r="G2" s="3">
        <v>43764</v>
      </c>
      <c r="H2" s="1">
        <f>_xlfn.DAYS(G2, F2) / 365.25</f>
        <v>21.965776865160848</v>
      </c>
      <c r="I2" s="1" t="str">
        <f>IF(H2 &lt; 20, "Yes", "No")</f>
        <v>No</v>
      </c>
    </row>
    <row r="3" spans="1:9">
      <c r="A3">
        <v>2</v>
      </c>
      <c r="B3" s="1">
        <v>2</v>
      </c>
      <c r="C3" s="1" t="s">
        <v>15</v>
      </c>
      <c r="D3" s="1">
        <v>166</v>
      </c>
      <c r="E3" s="1">
        <v>102</v>
      </c>
      <c r="F3" s="2" t="s">
        <v>16</v>
      </c>
      <c r="G3" s="3">
        <v>43764</v>
      </c>
      <c r="H3" s="1">
        <f t="shared" ref="H3:H31" si="0">_xlfn.DAYS(G3, F3) / 365.25</f>
        <v>17.347022587268995</v>
      </c>
      <c r="I3" s="1" t="str">
        <f t="shared" ref="I3:I31" si="1">IF(H3 &lt; 20, "Yes", "No")</f>
        <v>Yes</v>
      </c>
    </row>
    <row r="4" spans="1:9">
      <c r="A4">
        <v>3</v>
      </c>
      <c r="B4" s="1">
        <v>3</v>
      </c>
      <c r="C4" s="1" t="s">
        <v>17</v>
      </c>
      <c r="D4" s="1">
        <v>172</v>
      </c>
      <c r="E4" s="1">
        <v>67</v>
      </c>
      <c r="F4" s="2" t="s">
        <v>18</v>
      </c>
      <c r="G4" s="3">
        <v>43764</v>
      </c>
      <c r="H4" s="1">
        <f t="shared" si="0"/>
        <v>21.656399726214921</v>
      </c>
      <c r="I4" s="1" t="str">
        <f t="shared" si="1"/>
        <v>No</v>
      </c>
    </row>
    <row r="5" spans="1:9">
      <c r="A5">
        <v>4</v>
      </c>
      <c r="B5" s="1">
        <v>4</v>
      </c>
      <c r="C5" s="1" t="s">
        <v>19</v>
      </c>
      <c r="D5" s="1">
        <v>180</v>
      </c>
      <c r="E5" s="1">
        <v>86</v>
      </c>
      <c r="F5" s="2" t="s">
        <v>20</v>
      </c>
      <c r="G5" s="3">
        <v>43764</v>
      </c>
      <c r="H5" s="1">
        <f t="shared" si="0"/>
        <v>19.482546201232033</v>
      </c>
      <c r="I5" s="1" t="str">
        <f t="shared" si="1"/>
        <v>Yes</v>
      </c>
    </row>
    <row r="6" spans="1:9">
      <c r="B6" s="1">
        <v>5</v>
      </c>
      <c r="C6" s="1" t="s">
        <v>21</v>
      </c>
      <c r="D6" s="1">
        <v>171</v>
      </c>
      <c r="E6" s="1">
        <v>57</v>
      </c>
      <c r="F6" s="2" t="s">
        <v>22</v>
      </c>
      <c r="G6" s="3">
        <v>43764</v>
      </c>
      <c r="H6" s="1">
        <f t="shared" si="0"/>
        <v>20.514715947980836</v>
      </c>
      <c r="I6" s="1" t="str">
        <f t="shared" si="1"/>
        <v>No</v>
      </c>
    </row>
    <row r="7" spans="1:9">
      <c r="A7">
        <v>5</v>
      </c>
      <c r="B7" s="1">
        <v>6</v>
      </c>
      <c r="C7" s="1" t="s">
        <v>23</v>
      </c>
      <c r="D7" s="1">
        <v>173</v>
      </c>
      <c r="E7" s="1">
        <v>56</v>
      </c>
      <c r="F7" s="2" t="s">
        <v>24</v>
      </c>
      <c r="G7" s="3">
        <v>43764</v>
      </c>
      <c r="H7" s="1">
        <f t="shared" si="0"/>
        <v>16.306639288158795</v>
      </c>
      <c r="I7" s="1" t="str">
        <f t="shared" si="1"/>
        <v>Yes</v>
      </c>
    </row>
    <row r="8" spans="1:9">
      <c r="A8">
        <v>6</v>
      </c>
      <c r="B8" s="1">
        <v>7</v>
      </c>
      <c r="C8" s="1" t="s">
        <v>25</v>
      </c>
      <c r="D8" s="1">
        <v>177</v>
      </c>
      <c r="E8" s="1">
        <v>65</v>
      </c>
      <c r="F8" s="2" t="s">
        <v>26</v>
      </c>
      <c r="G8" s="3">
        <v>43764</v>
      </c>
      <c r="H8" s="1">
        <f t="shared" si="0"/>
        <v>17.297741273100616</v>
      </c>
      <c r="I8" s="1" t="str">
        <f t="shared" si="1"/>
        <v>Yes</v>
      </c>
    </row>
    <row r="9" spans="1:9">
      <c r="A9">
        <v>7</v>
      </c>
      <c r="B9" s="1">
        <v>8</v>
      </c>
      <c r="C9" s="1" t="s">
        <v>27</v>
      </c>
      <c r="D9" s="1">
        <v>179</v>
      </c>
      <c r="E9" s="1">
        <v>78</v>
      </c>
      <c r="F9" s="2" t="s">
        <v>28</v>
      </c>
      <c r="G9" s="3">
        <v>43764</v>
      </c>
      <c r="H9" s="1">
        <f t="shared" si="0"/>
        <v>19.074606433949349</v>
      </c>
      <c r="I9" s="1" t="str">
        <f t="shared" si="1"/>
        <v>Yes</v>
      </c>
    </row>
    <row r="10" spans="1:9">
      <c r="A10">
        <v>8</v>
      </c>
      <c r="B10" s="1">
        <v>9</v>
      </c>
      <c r="C10" s="1" t="s">
        <v>29</v>
      </c>
      <c r="D10" s="1">
        <v>172</v>
      </c>
      <c r="E10" s="1">
        <v>62</v>
      </c>
      <c r="F10" s="2" t="s">
        <v>30</v>
      </c>
      <c r="G10" s="3">
        <v>43764</v>
      </c>
      <c r="H10" s="1">
        <f t="shared" si="0"/>
        <v>23.572895277207394</v>
      </c>
      <c r="I10" s="1" t="str">
        <f t="shared" si="1"/>
        <v>No</v>
      </c>
    </row>
    <row r="11" spans="1:9">
      <c r="A11">
        <v>9</v>
      </c>
      <c r="B11" s="1">
        <v>10</v>
      </c>
      <c r="C11" s="1" t="s">
        <v>31</v>
      </c>
      <c r="D11" s="1">
        <v>171</v>
      </c>
      <c r="E11" s="1">
        <v>70</v>
      </c>
      <c r="F11" s="2" t="s">
        <v>32</v>
      </c>
      <c r="G11" s="3">
        <v>43764</v>
      </c>
      <c r="H11" s="1">
        <f t="shared" si="0"/>
        <v>17.226557152635181</v>
      </c>
      <c r="I11" s="1" t="str">
        <f t="shared" si="1"/>
        <v>Yes</v>
      </c>
    </row>
    <row r="12" spans="1:9">
      <c r="A12">
        <v>10</v>
      </c>
      <c r="B12" s="1">
        <v>11</v>
      </c>
      <c r="C12" s="1" t="s">
        <v>33</v>
      </c>
      <c r="D12" s="1">
        <v>167</v>
      </c>
      <c r="E12" s="1">
        <v>57</v>
      </c>
      <c r="F12" s="2" t="s">
        <v>34</v>
      </c>
      <c r="G12" s="3">
        <v>43764</v>
      </c>
      <c r="H12" s="1">
        <f t="shared" si="0"/>
        <v>19.353867214236825</v>
      </c>
      <c r="I12" s="1" t="str">
        <f t="shared" si="1"/>
        <v>Yes</v>
      </c>
    </row>
    <row r="13" spans="1:9">
      <c r="A13">
        <v>11</v>
      </c>
      <c r="B13" s="1">
        <v>12</v>
      </c>
      <c r="C13" s="1" t="s">
        <v>35</v>
      </c>
      <c r="D13" s="1">
        <v>167</v>
      </c>
      <c r="E13" s="1">
        <v>61</v>
      </c>
      <c r="F13" s="2" t="s">
        <v>36</v>
      </c>
      <c r="G13" s="3">
        <v>43764</v>
      </c>
      <c r="H13" s="1">
        <f t="shared" si="0"/>
        <v>17.708418891170432</v>
      </c>
      <c r="I13" s="1" t="str">
        <f t="shared" si="1"/>
        <v>Yes</v>
      </c>
    </row>
    <row r="14" spans="1:9">
      <c r="A14">
        <v>12</v>
      </c>
      <c r="B14" s="1">
        <v>13</v>
      </c>
      <c r="C14" s="1" t="s">
        <v>37</v>
      </c>
      <c r="D14" s="1">
        <v>168</v>
      </c>
      <c r="E14" s="1">
        <v>70</v>
      </c>
      <c r="F14" s="2" t="s">
        <v>38</v>
      </c>
      <c r="G14" s="3">
        <v>43764</v>
      </c>
      <c r="H14" s="1">
        <f t="shared" si="0"/>
        <v>27.564681724845997</v>
      </c>
      <c r="I14" s="1" t="str">
        <f t="shared" si="1"/>
        <v>No</v>
      </c>
    </row>
    <row r="15" spans="1:9">
      <c r="A15">
        <v>13</v>
      </c>
      <c r="B15" s="1">
        <v>14</v>
      </c>
      <c r="C15" s="1" t="s">
        <v>39</v>
      </c>
      <c r="D15" s="1">
        <v>172</v>
      </c>
      <c r="E15" s="1">
        <v>75</v>
      </c>
      <c r="F15" s="2" t="s">
        <v>40</v>
      </c>
      <c r="G15" s="3">
        <v>43764</v>
      </c>
      <c r="H15" s="1">
        <f t="shared" si="0"/>
        <v>20.11772758384668</v>
      </c>
      <c r="I15" s="1" t="str">
        <f t="shared" si="1"/>
        <v>No</v>
      </c>
    </row>
    <row r="16" spans="1:9">
      <c r="A16">
        <v>14</v>
      </c>
      <c r="B16" s="1">
        <v>15</v>
      </c>
      <c r="C16" s="1" t="s">
        <v>41</v>
      </c>
      <c r="D16" s="1">
        <v>176</v>
      </c>
      <c r="E16" s="1">
        <v>107</v>
      </c>
      <c r="F16" s="2" t="s">
        <v>42</v>
      </c>
      <c r="G16" s="3">
        <v>43764</v>
      </c>
      <c r="H16" s="1">
        <f t="shared" si="0"/>
        <v>21.180013689253936</v>
      </c>
      <c r="I16" s="1" t="str">
        <f t="shared" si="1"/>
        <v>No</v>
      </c>
    </row>
    <row r="17" spans="1:9">
      <c r="B17" s="1">
        <v>16</v>
      </c>
      <c r="C17" s="1" t="s">
        <v>43</v>
      </c>
      <c r="D17" s="1">
        <v>170</v>
      </c>
      <c r="E17" s="1">
        <v>65</v>
      </c>
      <c r="F17" s="2" t="s">
        <v>44</v>
      </c>
      <c r="G17" s="3">
        <v>43764</v>
      </c>
      <c r="H17" s="1">
        <f t="shared" si="0"/>
        <v>21.245722108145106</v>
      </c>
      <c r="I17" s="1" t="str">
        <f t="shared" si="1"/>
        <v>No</v>
      </c>
    </row>
    <row r="18" spans="1:9">
      <c r="A18">
        <v>15</v>
      </c>
      <c r="B18" s="1">
        <v>17</v>
      </c>
      <c r="C18" s="1" t="s">
        <v>45</v>
      </c>
      <c r="D18" s="1">
        <v>179</v>
      </c>
      <c r="E18" s="1">
        <v>100</v>
      </c>
      <c r="F18" s="2" t="s">
        <v>46</v>
      </c>
      <c r="G18" s="3">
        <v>43764</v>
      </c>
      <c r="H18" s="1">
        <f t="shared" si="0"/>
        <v>18.87748117727584</v>
      </c>
      <c r="I18" s="1" t="str">
        <f t="shared" si="1"/>
        <v>Yes</v>
      </c>
    </row>
    <row r="19" spans="1:9">
      <c r="A19">
        <v>16</v>
      </c>
      <c r="B19" s="1">
        <v>18</v>
      </c>
      <c r="C19" s="1" t="s">
        <v>47</v>
      </c>
      <c r="D19" s="1">
        <v>168</v>
      </c>
      <c r="E19" s="1">
        <v>70</v>
      </c>
      <c r="F19" s="2" t="s">
        <v>48</v>
      </c>
      <c r="G19" s="3">
        <v>43764</v>
      </c>
      <c r="H19" s="1">
        <f t="shared" si="0"/>
        <v>23.737166324435318</v>
      </c>
      <c r="I19" s="1" t="str">
        <f t="shared" si="1"/>
        <v>No</v>
      </c>
    </row>
    <row r="20" spans="1:9">
      <c r="A20">
        <v>17</v>
      </c>
      <c r="B20" s="1">
        <v>19</v>
      </c>
      <c r="C20" s="1" t="s">
        <v>49</v>
      </c>
      <c r="D20" s="1">
        <v>170</v>
      </c>
      <c r="E20" s="1">
        <v>78</v>
      </c>
      <c r="F20" s="2" t="s">
        <v>50</v>
      </c>
      <c r="G20" s="3">
        <v>43764</v>
      </c>
      <c r="H20" s="1">
        <f t="shared" si="0"/>
        <v>18.223134839151268</v>
      </c>
      <c r="I20" s="1" t="str">
        <f t="shared" si="1"/>
        <v>Yes</v>
      </c>
    </row>
    <row r="21" spans="1:9">
      <c r="A21">
        <v>18</v>
      </c>
      <c r="B21" s="1">
        <v>20</v>
      </c>
      <c r="C21" s="1" t="s">
        <v>51</v>
      </c>
      <c r="D21" s="1">
        <v>165</v>
      </c>
      <c r="E21" s="1">
        <v>70</v>
      </c>
      <c r="F21" s="2" t="s">
        <v>52</v>
      </c>
      <c r="G21" s="3">
        <v>43764</v>
      </c>
      <c r="H21" s="1">
        <f t="shared" si="0"/>
        <v>20.594113620807665</v>
      </c>
      <c r="I21" s="1" t="str">
        <f t="shared" si="1"/>
        <v>No</v>
      </c>
    </row>
    <row r="22" spans="1:9">
      <c r="A22">
        <v>19</v>
      </c>
      <c r="B22" s="1">
        <v>21</v>
      </c>
      <c r="C22" s="1" t="s">
        <v>53</v>
      </c>
      <c r="D22" s="1">
        <v>172</v>
      </c>
      <c r="E22" s="1">
        <v>66</v>
      </c>
      <c r="F22" s="2" t="s">
        <v>54</v>
      </c>
      <c r="G22" s="3">
        <v>43764</v>
      </c>
      <c r="H22" s="1">
        <f t="shared" si="0"/>
        <v>21.486652977412732</v>
      </c>
      <c r="I22" s="1" t="str">
        <f t="shared" si="1"/>
        <v>No</v>
      </c>
    </row>
    <row r="23" spans="1:9">
      <c r="A23">
        <v>20</v>
      </c>
      <c r="B23" s="1">
        <v>22</v>
      </c>
      <c r="C23" s="1" t="s">
        <v>55</v>
      </c>
      <c r="D23" s="1">
        <v>177</v>
      </c>
      <c r="E23" s="1">
        <v>78</v>
      </c>
      <c r="F23" s="2" t="s">
        <v>50</v>
      </c>
      <c r="G23" s="3">
        <v>43764</v>
      </c>
      <c r="H23" s="1">
        <f t="shared" si="0"/>
        <v>18.223134839151268</v>
      </c>
      <c r="I23" s="1" t="str">
        <f t="shared" si="1"/>
        <v>Yes</v>
      </c>
    </row>
    <row r="24" spans="1:9">
      <c r="A24">
        <v>21</v>
      </c>
      <c r="B24" s="1">
        <v>23</v>
      </c>
      <c r="C24" s="1" t="s">
        <v>56</v>
      </c>
      <c r="D24" s="1">
        <v>175</v>
      </c>
      <c r="E24" s="1">
        <v>79</v>
      </c>
      <c r="F24" s="2" t="s">
        <v>57</v>
      </c>
      <c r="G24" s="3">
        <v>43764</v>
      </c>
      <c r="H24" s="1">
        <f t="shared" si="0"/>
        <v>23.783709787816566</v>
      </c>
      <c r="I24" s="1" t="str">
        <f t="shared" si="1"/>
        <v>No</v>
      </c>
    </row>
    <row r="25" spans="1:9">
      <c r="B25" s="1">
        <v>24</v>
      </c>
      <c r="C25" s="1" t="s">
        <v>58</v>
      </c>
      <c r="D25" s="1">
        <v>174</v>
      </c>
      <c r="E25" s="1">
        <v>73</v>
      </c>
      <c r="F25" s="2" t="s">
        <v>59</v>
      </c>
      <c r="G25" s="3">
        <v>43764</v>
      </c>
      <c r="H25" s="1">
        <f t="shared" si="0"/>
        <v>19.745379876796715</v>
      </c>
      <c r="I25" s="1" t="str">
        <f t="shared" si="1"/>
        <v>Yes</v>
      </c>
    </row>
    <row r="26" spans="1:9">
      <c r="A26">
        <v>22</v>
      </c>
      <c r="B26" s="1">
        <v>25</v>
      </c>
      <c r="C26" s="1" t="s">
        <v>60</v>
      </c>
      <c r="D26" s="1">
        <v>170</v>
      </c>
      <c r="E26" s="1">
        <v>58</v>
      </c>
      <c r="F26" s="2" t="s">
        <v>61</v>
      </c>
      <c r="G26" s="3">
        <v>43764</v>
      </c>
      <c r="H26" s="1">
        <f t="shared" si="0"/>
        <v>19.564681724845997</v>
      </c>
      <c r="I26" s="1" t="str">
        <f t="shared" si="1"/>
        <v>Yes</v>
      </c>
    </row>
    <row r="27" spans="1:9">
      <c r="A27">
        <v>23</v>
      </c>
      <c r="B27" s="1">
        <v>26</v>
      </c>
      <c r="C27" s="1" t="s">
        <v>62</v>
      </c>
      <c r="D27" s="1">
        <v>159</v>
      </c>
      <c r="E27" s="1">
        <v>73</v>
      </c>
      <c r="F27" s="2" t="s">
        <v>63</v>
      </c>
      <c r="G27" s="3">
        <v>43764</v>
      </c>
      <c r="H27" s="1">
        <f t="shared" si="0"/>
        <v>16.865160848733744</v>
      </c>
      <c r="I27" s="1" t="str">
        <f t="shared" si="1"/>
        <v>Yes</v>
      </c>
    </row>
    <row r="28" spans="1:9">
      <c r="A28">
        <v>24</v>
      </c>
      <c r="B28" s="1">
        <v>27</v>
      </c>
      <c r="C28" s="1" t="s">
        <v>64</v>
      </c>
      <c r="D28" s="1">
        <v>175</v>
      </c>
      <c r="E28" s="1">
        <v>81</v>
      </c>
      <c r="F28" s="2" t="s">
        <v>65</v>
      </c>
      <c r="G28" s="3">
        <v>43764</v>
      </c>
      <c r="H28" s="1">
        <f t="shared" si="0"/>
        <v>21.355236139630389</v>
      </c>
      <c r="I28" s="1" t="str">
        <f t="shared" si="1"/>
        <v>No</v>
      </c>
    </row>
    <row r="29" spans="1:9">
      <c r="A29">
        <v>25</v>
      </c>
      <c r="B29" s="1">
        <v>28</v>
      </c>
      <c r="C29" s="1" t="s">
        <v>66</v>
      </c>
      <c r="D29" s="1">
        <v>173</v>
      </c>
      <c r="E29" s="1">
        <v>78</v>
      </c>
      <c r="F29" s="2" t="s">
        <v>67</v>
      </c>
      <c r="G29" s="3">
        <v>43764</v>
      </c>
      <c r="H29" s="1">
        <f t="shared" si="0"/>
        <v>17.757700205338811</v>
      </c>
      <c r="I29" s="1" t="str">
        <f t="shared" si="1"/>
        <v>Yes</v>
      </c>
    </row>
    <row r="30" spans="1:9">
      <c r="B30" s="1">
        <v>29</v>
      </c>
      <c r="C30" s="1" t="s">
        <v>68</v>
      </c>
      <c r="D30" s="1">
        <v>167</v>
      </c>
      <c r="E30" s="1">
        <v>59.9</v>
      </c>
      <c r="F30" s="2" t="s">
        <v>16</v>
      </c>
      <c r="G30" s="3">
        <v>43764</v>
      </c>
      <c r="H30" s="1">
        <f t="shared" si="0"/>
        <v>17.347022587268995</v>
      </c>
      <c r="I30" s="1" t="str">
        <f t="shared" si="1"/>
        <v>Yes</v>
      </c>
    </row>
    <row r="31" spans="1:9">
      <c r="A31">
        <v>26</v>
      </c>
      <c r="B31" s="1">
        <v>30</v>
      </c>
      <c r="C31" s="1" t="s">
        <v>69</v>
      </c>
      <c r="D31" s="1">
        <v>177</v>
      </c>
      <c r="E31" s="1">
        <v>83</v>
      </c>
      <c r="F31" s="2" t="s">
        <v>70</v>
      </c>
      <c r="G31" s="3">
        <v>43764</v>
      </c>
      <c r="H31" s="1">
        <f t="shared" si="0"/>
        <v>17.478439425051334</v>
      </c>
      <c r="I31" s="1" t="str">
        <f t="shared" si="1"/>
        <v>Yes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4A66B-0B85-7841-83E5-5C4BC7892DA6}">
  <dimension ref="B6:F16"/>
  <sheetViews>
    <sheetView tabSelected="1" topLeftCell="A4" zoomScale="136" workbookViewId="0">
      <selection activeCell="F15" sqref="F15"/>
    </sheetView>
  </sheetViews>
  <sheetFormatPr baseColWidth="10" defaultRowHeight="15"/>
  <cols>
    <col min="1" max="1" width="10.83203125" customWidth="1"/>
    <col min="2" max="3" width="6.5" customWidth="1"/>
    <col min="4" max="4" width="6.1640625" customWidth="1"/>
    <col min="5" max="6" width="46.5" customWidth="1"/>
  </cols>
  <sheetData>
    <row r="6" spans="2:6" ht="33" customHeight="1">
      <c r="B6" s="15"/>
      <c r="C6" s="23"/>
      <c r="D6" s="24"/>
      <c r="E6" s="4" t="s">
        <v>80</v>
      </c>
      <c r="F6" s="4"/>
    </row>
    <row r="7" spans="2:6" ht="33" customHeight="1">
      <c r="B7" s="20"/>
      <c r="C7" s="21"/>
      <c r="D7" s="22"/>
      <c r="E7" s="7" t="s">
        <v>82</v>
      </c>
      <c r="F7" s="11" t="s">
        <v>83</v>
      </c>
    </row>
    <row r="8" spans="2:6" ht="57" hidden="1" customHeight="1">
      <c r="B8" s="5" t="s">
        <v>81</v>
      </c>
      <c r="C8" s="6" t="s">
        <v>82</v>
      </c>
      <c r="D8" s="18" t="s">
        <v>79</v>
      </c>
      <c r="E8" s="8" t="s">
        <v>91</v>
      </c>
      <c r="F8" s="8" t="s">
        <v>84</v>
      </c>
    </row>
    <row r="9" spans="2:6" ht="57" hidden="1" customHeight="1">
      <c r="B9" s="5"/>
      <c r="C9" s="6"/>
      <c r="D9" s="18" t="s">
        <v>100</v>
      </c>
      <c r="E9" s="9" t="s">
        <v>88</v>
      </c>
      <c r="F9" s="9" t="s">
        <v>87</v>
      </c>
    </row>
    <row r="10" spans="2:6" ht="57" hidden="1" customHeight="1">
      <c r="B10" s="5"/>
      <c r="C10" s="6"/>
      <c r="D10" s="19" t="s">
        <v>102</v>
      </c>
      <c r="E10" s="9" t="s">
        <v>95</v>
      </c>
      <c r="F10" s="9" t="s">
        <v>94</v>
      </c>
    </row>
    <row r="11" spans="2:6" ht="204" customHeight="1" thickBot="1">
      <c r="B11" s="5"/>
      <c r="C11" s="6"/>
      <c r="D11" s="19" t="s">
        <v>101</v>
      </c>
      <c r="E11" s="10" t="s">
        <v>96</v>
      </c>
      <c r="F11" s="10" t="s">
        <v>97</v>
      </c>
    </row>
    <row r="12" spans="2:6" ht="57" hidden="1" customHeight="1">
      <c r="B12" s="5"/>
      <c r="C12" s="12" t="s">
        <v>83</v>
      </c>
      <c r="D12" s="18" t="s">
        <v>79</v>
      </c>
      <c r="E12" s="8" t="s">
        <v>85</v>
      </c>
      <c r="F12" s="8" t="s">
        <v>86</v>
      </c>
    </row>
    <row r="13" spans="2:6" ht="57" hidden="1" customHeight="1">
      <c r="B13" s="5"/>
      <c r="C13" s="12"/>
      <c r="D13" s="18" t="s">
        <v>100</v>
      </c>
      <c r="E13" s="9" t="s">
        <v>89</v>
      </c>
      <c r="F13" s="9" t="s">
        <v>90</v>
      </c>
    </row>
    <row r="14" spans="2:6" ht="57" hidden="1" customHeight="1">
      <c r="B14" s="5"/>
      <c r="C14" s="12"/>
      <c r="D14" s="19" t="s">
        <v>102</v>
      </c>
      <c r="E14" s="9" t="s">
        <v>93</v>
      </c>
      <c r="F14" s="9" t="s">
        <v>92</v>
      </c>
    </row>
    <row r="15" spans="2:6" ht="204" customHeight="1" thickBot="1">
      <c r="B15" s="5"/>
      <c r="C15" s="12"/>
      <c r="D15" s="19" t="s">
        <v>101</v>
      </c>
      <c r="E15" s="10" t="s">
        <v>98</v>
      </c>
      <c r="F15" s="10" t="s">
        <v>99</v>
      </c>
    </row>
    <row r="16" spans="2:6" ht="16" thickBot="1">
      <c r="B16" s="16"/>
      <c r="C16" s="17"/>
      <c r="E16" s="13"/>
      <c r="F16" s="14"/>
    </row>
  </sheetData>
  <mergeCells count="5">
    <mergeCell ref="C8:C11"/>
    <mergeCell ref="C12:C15"/>
    <mergeCell ref="E6:F6"/>
    <mergeCell ref="B8:B15"/>
    <mergeCell ref="B6:D7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DJ_median</vt:lpstr>
      <vt:lpstr>工作表2</vt:lpstr>
      <vt:lpstr>工作表1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游傑新</dc:creator>
  <cp:lastModifiedBy>Microsoft Office User</cp:lastModifiedBy>
  <dcterms:created xsi:type="dcterms:W3CDTF">2019-11-01T15:14:52Z</dcterms:created>
  <dcterms:modified xsi:type="dcterms:W3CDTF">2019-11-02T04:39:46Z</dcterms:modified>
</cp:coreProperties>
</file>