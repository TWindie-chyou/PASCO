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1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Chinaeatshit/Documents/PycharmProjects/PASCO/"/>
    </mc:Choice>
  </mc:AlternateContent>
  <xr:revisionPtr revIDLastSave="0" documentId="13_ncr:40009_{EDF22876-5AB6-7347-856C-2C6A2A382DDB}" xr6:coauthVersionLast="47" xr6:coauthVersionMax="47" xr10:uidLastSave="{00000000-0000-0000-0000-000000000000}"/>
  <bookViews>
    <workbookView xWindow="260" yWindow="500" windowWidth="28260" windowHeight="16100" activeTab="2"/>
  </bookViews>
  <sheets>
    <sheet name="工作表1" sheetId="2" r:id="rId1"/>
    <sheet name="工作表3" sheetId="4" r:id="rId2"/>
    <sheet name="Regression" sheetId="1" r:id="rId3"/>
  </sheets>
  <calcPr calcId="191029"/>
  <pivotCaches>
    <pivotCache cacheId="7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5" i="4" l="1"/>
  <c r="M5" i="4"/>
  <c r="N5" i="4"/>
  <c r="L6" i="4"/>
  <c r="M6" i="4"/>
  <c r="N6" i="4"/>
  <c r="L7" i="4"/>
  <c r="M7" i="4"/>
  <c r="N7" i="4"/>
  <c r="L8" i="4"/>
  <c r="M8" i="4"/>
  <c r="N8" i="4"/>
  <c r="L9" i="4"/>
  <c r="M9" i="4"/>
  <c r="N9" i="4"/>
  <c r="L10" i="4"/>
  <c r="M10" i="4"/>
  <c r="N10" i="4"/>
  <c r="L11" i="4"/>
  <c r="M11" i="4"/>
  <c r="N11" i="4"/>
  <c r="L12" i="4"/>
  <c r="M12" i="4"/>
  <c r="N12" i="4"/>
  <c r="L13" i="4"/>
  <c r="M13" i="4"/>
  <c r="N13" i="4"/>
  <c r="L14" i="4"/>
  <c r="M14" i="4"/>
  <c r="N14" i="4"/>
  <c r="L15" i="4"/>
  <c r="M15" i="4"/>
  <c r="N15" i="4"/>
  <c r="L16" i="4"/>
  <c r="M16" i="4"/>
  <c r="N16" i="4"/>
  <c r="L17" i="4"/>
  <c r="M17" i="4"/>
  <c r="N17" i="4"/>
  <c r="L18" i="4"/>
  <c r="M18" i="4"/>
  <c r="N18" i="4"/>
  <c r="L19" i="4"/>
  <c r="M19" i="4"/>
  <c r="N19" i="4"/>
  <c r="L20" i="4"/>
  <c r="M20" i="4"/>
  <c r="N20" i="4"/>
  <c r="L21" i="4"/>
  <c r="M21" i="4"/>
  <c r="N21" i="4"/>
  <c r="L22" i="4"/>
  <c r="M22" i="4"/>
  <c r="N22" i="4"/>
  <c r="L23" i="4"/>
  <c r="M23" i="4"/>
  <c r="N23" i="4"/>
  <c r="L24" i="4"/>
  <c r="M24" i="4"/>
  <c r="N24" i="4"/>
  <c r="L25" i="4"/>
  <c r="M25" i="4"/>
  <c r="N25" i="4"/>
  <c r="L26" i="4"/>
  <c r="M26" i="4"/>
  <c r="N26" i="4"/>
  <c r="N4" i="4"/>
  <c r="M4" i="4"/>
  <c r="L4" i="4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2" i="1"/>
</calcChain>
</file>

<file path=xl/sharedStrings.xml><?xml version="1.0" encoding="utf-8"?>
<sst xmlns="http://schemas.openxmlformats.org/spreadsheetml/2006/main" count="344" uniqueCount="31">
  <si>
    <t>Style</t>
  </si>
  <si>
    <t>X</t>
  </si>
  <si>
    <t>Y</t>
  </si>
  <si>
    <t>Slope</t>
  </si>
  <si>
    <t>Intercept</t>
  </si>
  <si>
    <t>R</t>
  </si>
  <si>
    <t>P</t>
  </si>
  <si>
    <t>STD</t>
  </si>
  <si>
    <t>SF</t>
  </si>
  <si>
    <t>Depth</t>
  </si>
  <si>
    <t>Jump_Height_(Impulse)</t>
  </si>
  <si>
    <t>Contact_Time</t>
  </si>
  <si>
    <t>GRF_Max_(Normalized)</t>
  </si>
  <si>
    <t>GRF_at_Bottom_(Normalized)</t>
  </si>
  <si>
    <t>Average_Power_(Normalized)</t>
  </si>
  <si>
    <t>Peak_Power_(Normalized)</t>
  </si>
  <si>
    <t>RSI_(Impulse)</t>
  </si>
  <si>
    <t>Time_GRF_Ecc_Max</t>
  </si>
  <si>
    <t>Time_GRF_Max</t>
  </si>
  <si>
    <t>Time_GRF_Con_Max</t>
  </si>
  <si>
    <t>SS</t>
  </si>
  <si>
    <t>ST</t>
  </si>
  <si>
    <t>R_sq</t>
    <phoneticPr fontId="18" type="noConversion"/>
  </si>
  <si>
    <t>總計</t>
  </si>
  <si>
    <t>加總 - R</t>
  </si>
  <si>
    <t>加總 - R 的加總</t>
  </si>
  <si>
    <t>加總 - Slope 的加總</t>
  </si>
  <si>
    <t>加總 - Slope</t>
  </si>
  <si>
    <t>加總 - R_sq 的加總</t>
  </si>
  <si>
    <t>加總 - R_sq</t>
  </si>
  <si>
    <t>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</si>
</sst>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1" formatCode="0.000"/>
  </numFmts>
  <fonts count="19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0" fillId="0" borderId="0" xfId="0" pivotButton="1">
      <alignment vertical="center"/>
    </xf>
    <xf numFmtId="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33" borderId="0" xfId="0" applyFill="1">
      <alignment vertical="center"/>
    </xf>
    <xf numFmtId="11" fontId="0" fillId="33" borderId="0" xfId="0" applyNumberFormat="1" applyFill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游傑新" refreshedDate="44511.600075578703" createdVersion="7" refreshedVersion="7" minRefreshableVersion="3" recordCount="66">
  <cacheSource type="worksheet">
    <worksheetSource ref="A1:I67" sheet="Regression"/>
  </cacheSource>
  <cacheFields count="9">
    <cacheField name="Style" numFmtId="0">
      <sharedItems count="3">
        <s v="SF"/>
        <s v="SS"/>
        <s v="ST"/>
      </sharedItems>
    </cacheField>
    <cacheField name="X" numFmtId="0">
      <sharedItems count="9">
        <s v="Depth"/>
        <s v="Contact_Time"/>
        <s v="GRF_Max_(Normalized)"/>
        <s v="GRF_at_Bottom_(Normalized)"/>
        <s v="Average_Power_(Normalized)"/>
        <s v="Peak_Power_(Normalized)"/>
        <s v="Jump_Height_(Impulse)"/>
        <s v="Time_GRF_Ecc_Max"/>
        <s v="Time_GRF_Con_Max"/>
      </sharedItems>
    </cacheField>
    <cacheField name="Y" numFmtId="0">
      <sharedItems count="5">
        <s v="Jump_Height_(Impulse)"/>
        <s v="Average_Power_(Normalized)"/>
        <s v="Peak_Power_(Normalized)"/>
        <s v="RSI_(Impulse)"/>
        <s v="Time_GRF_Max"/>
      </sharedItems>
    </cacheField>
    <cacheField name="Slope" numFmtId="0">
      <sharedItems containsSemiMixedTypes="0" containsString="0" containsNumber="1" minValue="-41.514637512536197" maxValue="2.6854665702488201" count="66">
        <n v="0.21210066084906801"/>
        <n v="0.18377436621940199"/>
        <n v="-1.7359591050037401E-3"/>
        <n v="4.5693760328593099E-3"/>
        <n v="1.2538836573486299E-2"/>
        <n v="9.1401978033303095E-3"/>
        <n v="4.01559444397123E-2"/>
        <n v="0.76811814029329495"/>
        <n v="-9.58545577335145"/>
        <n v="-15.6953570580184"/>
        <n v="4.68695851505928E-2"/>
        <n v="0.528480804136928"/>
        <n v="-7.4956837590454599"/>
        <n v="-9.1110178069940595"/>
        <n v="3.60056022731869E-3"/>
        <n v="2.6249591848469801E-2"/>
        <n v="1.5116387044545101"/>
        <n v="-0.76129943458405902"/>
        <n v="3.5700101424808103E-2"/>
        <n v="2.1166970602074699E-2"/>
        <n v="1.00092044535275"/>
        <n v="4.6068306090595999E-2"/>
        <n v="5.8728802209759297E-2"/>
        <n v="3.8217858162441699E-2"/>
        <n v="-2.9174087271690397E-4"/>
        <n v="5.4813879938526103E-3"/>
        <n v="1.21655632967923E-2"/>
        <n v="8.2323187856871097E-3"/>
        <n v="0.20458710655859999"/>
        <n v="0.73231478200198696"/>
        <n v="-23.2897036797258"/>
        <n v="-29.088628575125199"/>
        <n v="0.26521303949611702"/>
        <n v="0.74716567602334305"/>
        <n v="-33.369824300806002"/>
        <n v="-39.114745742862297"/>
        <n v="1.1906588583388E-2"/>
        <n v="2.8961672900647498E-2"/>
        <n v="2.04098344540277"/>
        <n v="-1.47945685177357"/>
        <n v="4.0455402163223499E-2"/>
        <n v="2.71441068247147E-2"/>
        <n v="1.0001774710068401"/>
        <n v="0.14308523075534399"/>
        <n v="0.32428062390837098"/>
        <n v="0.35942504160178801"/>
        <n v="-6.4652149836429205E-4"/>
        <n v="-1.2085006271549299E-3"/>
        <n v="8.8364552451576199E-3"/>
        <n v="5.7142699227271604E-3"/>
        <n v="0.10953421853569301"/>
        <n v="0.31473673346279302"/>
        <n v="-32.456651011852301"/>
        <n v="-25.641981904146299"/>
        <n v="0.134607856215988"/>
        <n v="0.461026049448783"/>
        <n v="-41.514637512536197"/>
        <n v="-31.888518333575099"/>
        <n v="7.0692937415395302E-3"/>
        <n v="1.4576515255885601E-2"/>
        <n v="2.6854665702488201"/>
        <n v="-1.4047161953554299"/>
        <n v="4.0936333418265802E-2"/>
        <n v="2.56636071394481E-2"/>
        <n v="1.0125636413579799"/>
        <n v="-9.9552741083514695E-2"/>
      </sharedItems>
    </cacheField>
    <cacheField name="Intercept" numFmtId="0">
      <sharedItems containsSemiMixedTypes="0" containsString="0" containsNumber="1" minValue="-0.64995877229346299" maxValue="67.851652081888801"/>
    </cacheField>
    <cacheField name="R" numFmtId="0">
      <sharedItems containsSemiMixedTypes="0" containsString="0" containsNumber="1" minValue="-0.62432092909411097" maxValue="0.99999912057921203" count="66">
        <n v="0.27957214073853798"/>
        <n v="0.26803507519912501"/>
        <n v="-0.15109454625841301"/>
        <n v="0.227929163891395"/>
        <n v="0.75450238783692603"/>
        <n v="0.84521207778102103"/>
        <n v="5.8083899707604199E-2"/>
        <n v="0.63674807862557903"/>
        <n v="-0.20997194028300201"/>
        <n v="-0.380429791731758"/>
        <n v="4.4115408837759197E-2"/>
        <n v="0.28507695756997298"/>
        <n v="-0.106844710300367"/>
        <n v="-0.14370222468003299"/>
        <n v="0.141694726563696"/>
        <n v="0.59202474827338203"/>
        <n v="0.68347449382141401"/>
        <n v="-0.50203790908260204"/>
        <n v="0.97128601443274198"/>
        <n v="0.88499968350369396"/>
        <n v="0.99999363679693098"/>
        <n v="5.21188587956362E-2"/>
        <n v="6.5757989686815704E-2"/>
        <n v="4.4794977392879701E-2"/>
        <n v="-2.6271166203389301E-2"/>
        <n v="0.335812980414183"/>
        <n v="0.81396575370755297"/>
        <n v="0.79450904361514096"/>
        <n v="0.27535085165519901"/>
        <n v="0.67054947257564901"/>
        <n v="-0.389751178418204"/>
        <n v="-0.50957992833084498"/>
        <n v="0.24745730659140899"/>
        <n v="0.47429351024641497"/>
        <n v="-0.387145877397086"/>
        <n v="-0.47503632840399901"/>
        <n v="0.38602198059102599"/>
        <n v="0.63881218617197799"/>
        <n v="0.73482190679224701"/>
        <n v="-0.62432092909411097"/>
        <n v="0.97452513785460304"/>
        <n v="0.94318054563655296"/>
        <n v="0.99999912057921203"/>
        <n v="0.101761933754814"/>
        <n v="0.22597833671178699"/>
        <n v="0.344756100663831"/>
        <n v="-9.3667815876104898E-2"/>
        <n v="-0.156116997740717"/>
        <n v="0.78280518049185799"/>
        <n v="0.78992251615156595"/>
        <n v="0.17913548671227"/>
        <n v="0.45896031499275203"/>
        <n v="-0.25531357377200897"/>
        <n v="-0.277638448486483"/>
        <n v="0.14107630891064299"/>
        <n v="0.43082910400895202"/>
        <n v="-0.20927787454882099"/>
        <n v="-0.22126576668631001"/>
        <n v="0.27843071594603802"/>
        <n v="0.51190658452898496"/>
        <n v="0.73005140996595896"/>
        <n v="-0.36629071624666798"/>
        <n v="0.98586680484942402"/>
        <n v="0.96443982182279597"/>
        <n v="0.93950681542118197"/>
        <n v="-0.20611781359640299"/>
      </sharedItems>
    </cacheField>
    <cacheField name="P" numFmtId="0">
      <sharedItems containsSemiMixedTypes="0" containsString="0" containsNumber="1" minValue="0" maxValue="0.77577964770960395"/>
    </cacheField>
    <cacheField name="STD" numFmtId="0">
      <sharedItems containsSemiMixedTypes="0" containsString="0" containsNumber="1" minValue="1.22109572856173E-4" maxValue="17.857141074655601"/>
    </cacheField>
    <cacheField name="R_sq" numFmtId="0">
      <sharedItems containsSemiMixedTypes="0" containsString="0" containsNumber="1" minValue="6.9017417368610423E-4" maxValue="0.99999824115919744" count="66">
        <n v="7.816058187712889E-2"/>
        <n v="7.1842801537000595E-2"/>
        <n v="2.282956190903571E-2"/>
        <n v="5.1951703752230405E-2"/>
        <n v="0.56927385325162316"/>
        <n v="0.7143834564269107"/>
        <n v="3.3737394052430233E-3"/>
        <n v="0.40544811563336658"/>
        <n v="4.4088215706208564E-2"/>
        <n v="0.14472682643706877"/>
        <n v="1.9461692969226423E-3"/>
        <n v="8.1268871737352172E-2"/>
        <n v="1.1415792119169351E-2"/>
        <n v="2.0650329377990682E-2"/>
        <n v="2.0077395535960576E-2"/>
        <n v="0.35049330256816136"/>
        <n v="0.46713738370443808"/>
        <n v="0.25204206215603098"/>
        <n v="0.94339652183264067"/>
        <n v="0.78322443980163847"/>
        <n v="0.99998727363435236"/>
        <n v="2.7163754421594649E-3"/>
        <n v="4.3241132076513606E-3"/>
        <n v="2.0065899996286034E-3"/>
        <n v="6.9017417368610423E-4"/>
        <n v="0.11277035781465646"/>
        <n v="0.66254024820870483"/>
        <n v="0.63124462038624596"/>
        <n v="7.5818091507243418E-2"/>
        <n v="0.44963659517148108"/>
        <n v="0.15190598107837869"/>
        <n v="0.25967170335766909"/>
        <n v="6.1235118585474591E-2"/>
        <n v="0.22495433386186614"/>
        <n v="0.14988193038555955"/>
        <n v="0.225659513303552"/>
        <n v="0.14901296949941845"/>
        <n v="0.40808100920182189"/>
        <n v="0.53996323470179375"/>
        <n v="0.38977662250493395"/>
        <n v="0.9496992443105331"/>
        <n v="0.88958954166726578"/>
        <n v="0.99999824115919744"/>
        <n v="1.0355491161519154E-2"/>
        <n v="5.1066208663025775E-2"/>
        <n v="0.11885676894492958"/>
        <n v="8.7736597309998887E-3"/>
        <n v="2.4372516983575034E-2"/>
        <n v="0.61278395060489033"/>
        <n v="0.62397758152322091"/>
        <n v="3.2089522599641866E-2"/>
        <n v="0.21064457073824616"/>
        <n v="6.5185020952235065E-2"/>
        <n v="7.708310807798148E-2"/>
        <n v="1.9902524935851165E-2"/>
        <n v="0.18561371686115641"/>
        <n v="4.3797228775672055E-2"/>
        <n v="4.8958539507280574E-2"/>
        <n v="7.7523663582223318E-2"/>
        <n v="0.26204835128413084"/>
        <n v="0.53297506119328464"/>
        <n v="0.13416888880849703"/>
        <n v="0.97193335690401228"/>
        <n v="0.93014416991758642"/>
        <n v="0.88267305622285086"/>
        <n v="4.2484553081761529E-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6">
  <r>
    <x v="0"/>
    <x v="0"/>
    <x v="0"/>
    <x v="0"/>
    <n v="0.20752164786912"/>
    <x v="0"/>
    <n v="1.9853725697079401E-3"/>
    <n v="6.7055555315595802E-2"/>
    <x v="0"/>
  </r>
  <r>
    <x v="0"/>
    <x v="1"/>
    <x v="0"/>
    <x v="1"/>
    <n v="0.20412954669973801"/>
    <x v="1"/>
    <n v="3.0783724713604101E-3"/>
    <n v="6.0808328952953503E-2"/>
    <x v="1"/>
  </r>
  <r>
    <x v="0"/>
    <x v="2"/>
    <x v="0"/>
    <x v="2"/>
    <n v="0.35638451054675901"/>
    <x v="2"/>
    <n v="9.9495336352922195E-2"/>
    <n v="1.0455260488630999E-3"/>
    <x v="2"/>
  </r>
  <r>
    <x v="0"/>
    <x v="3"/>
    <x v="0"/>
    <x v="3"/>
    <n v="0.17906398323271"/>
    <x v="3"/>
    <n v="1.2288367850591101E-2"/>
    <n v="1.79693028988162E-3"/>
    <x v="3"/>
  </r>
  <r>
    <x v="0"/>
    <x v="4"/>
    <x v="0"/>
    <x v="4"/>
    <n v="-3.4408034034843701E-2"/>
    <x v="4"/>
    <n v="2.5269348125244099E-23"/>
    <n v="1.00405207436274E-3"/>
    <x v="4"/>
  </r>
  <r>
    <x v="0"/>
    <x v="5"/>
    <x v="0"/>
    <x v="5"/>
    <n v="-0.13614679181558201"/>
    <x v="5"/>
    <n v="6.7281571601801604E-34"/>
    <n v="5.3203545652110405E-4"/>
    <x v="5"/>
  </r>
  <r>
    <x v="0"/>
    <x v="2"/>
    <x v="1"/>
    <x v="6"/>
    <n v="25.248754191227"/>
    <x v="6"/>
    <n v="0.52859663807810897"/>
    <n v="6.3535907487893201E-2"/>
    <x v="6"/>
  </r>
  <r>
    <x v="0"/>
    <x v="3"/>
    <x v="1"/>
    <x v="7"/>
    <n v="6.44053339023072"/>
    <x v="7"/>
    <n v="5.4094167122606703E-15"/>
    <n v="8.5627695282362096E-2"/>
    <x v="7"/>
  </r>
  <r>
    <x v="0"/>
    <x v="0"/>
    <x v="1"/>
    <x v="8"/>
    <n v="30.707368038869099"/>
    <x v="8"/>
    <n v="2.1347889481890699E-2"/>
    <n v="4.1088417071037302"/>
    <x v="8"/>
  </r>
  <r>
    <x v="0"/>
    <x v="1"/>
    <x v="1"/>
    <x v="9"/>
    <n v="34.6702380276393"/>
    <x v="9"/>
    <n v="1.81854490896952E-5"/>
    <n v="3.5124334301250202"/>
    <x v="9"/>
  </r>
  <r>
    <x v="0"/>
    <x v="2"/>
    <x v="2"/>
    <x v="10"/>
    <n v="46.0403063113339"/>
    <x v="10"/>
    <n v="0.63234071465582997"/>
    <n v="9.77094976424039E-2"/>
    <x v="10"/>
  </r>
  <r>
    <x v="0"/>
    <x v="3"/>
    <x v="2"/>
    <x v="11"/>
    <n v="33.7374177131165"/>
    <x v="11"/>
    <n v="1.59986971728016E-3"/>
    <n v="0.16357627494001001"/>
    <x v="11"/>
  </r>
  <r>
    <x v="0"/>
    <x v="0"/>
    <x v="2"/>
    <x v="12"/>
    <n v="50.821385655797002"/>
    <x v="12"/>
    <n v="0.24543755232176501"/>
    <n v="6.42131626192936"/>
    <x v="12"/>
  </r>
  <r>
    <x v="0"/>
    <x v="1"/>
    <x v="2"/>
    <x v="13"/>
    <n v="52.290013070256798"/>
    <x v="13"/>
    <n v="0.11738588549373299"/>
    <n v="5.7760546149451999"/>
    <x v="13"/>
  </r>
  <r>
    <x v="0"/>
    <x v="2"/>
    <x v="3"/>
    <x v="14"/>
    <n v="0.47561548469954301"/>
    <x v="14"/>
    <n v="0.122651051690628"/>
    <n v="2.31564124662198E-3"/>
    <x v="14"/>
  </r>
  <r>
    <x v="0"/>
    <x v="3"/>
    <x v="3"/>
    <x v="15"/>
    <n v="-9.3303079246564599E-2"/>
    <x v="15"/>
    <n v="1.0683258057447699E-12"/>
    <n v="3.2895273863222298E-3"/>
    <x v="15"/>
  </r>
  <r>
    <x v="0"/>
    <x v="6"/>
    <x v="3"/>
    <x v="16"/>
    <n v="0.14314021325412701"/>
    <x v="16"/>
    <n v="7.8817076233780201E-18"/>
    <n v="0.148625152726753"/>
    <x v="16"/>
  </r>
  <r>
    <x v="0"/>
    <x v="1"/>
    <x v="3"/>
    <x v="17"/>
    <n v="0.98736632462360396"/>
    <x v="17"/>
    <n v="5.1634591430511597E-9"/>
    <n v="0.12073038324215001"/>
    <x v="17"/>
  </r>
  <r>
    <x v="0"/>
    <x v="4"/>
    <x v="3"/>
    <x v="18"/>
    <n v="-0.35396657797604197"/>
    <x v="18"/>
    <n v="1.9735990600084299E-75"/>
    <n v="8.0501295630843199E-4"/>
    <x v="18"/>
  </r>
  <r>
    <x v="0"/>
    <x v="5"/>
    <x v="3"/>
    <x v="19"/>
    <n v="-0.41248916429272398"/>
    <x v="19"/>
    <n v="5.51757796941672E-41"/>
    <n v="1.0251318955560101E-3"/>
    <x v="19"/>
  </r>
  <r>
    <x v="0"/>
    <x v="7"/>
    <x v="4"/>
    <x v="20"/>
    <n v="-6.0149930104211297E-5"/>
    <x v="20"/>
    <n v="1.1031665707903799E-290"/>
    <n v="3.28710455993179E-4"/>
    <x v="20"/>
  </r>
  <r>
    <x v="0"/>
    <x v="8"/>
    <x v="4"/>
    <x v="21"/>
    <n v="9.7813337887622795E-2"/>
    <x v="21"/>
    <n v="0.57184115186828099"/>
    <n v="8.1259788256673404E-2"/>
    <x v="21"/>
  </r>
  <r>
    <x v="1"/>
    <x v="0"/>
    <x v="0"/>
    <x v="22"/>
    <n v="0.289364546404552"/>
    <x v="22"/>
    <n v="0.47548954624246198"/>
    <n v="8.2039046993880205E-2"/>
    <x v="22"/>
  </r>
  <r>
    <x v="1"/>
    <x v="1"/>
    <x v="0"/>
    <x v="23"/>
    <n v="0.29363097982442399"/>
    <x v="23"/>
    <n v="0.62710032051325004"/>
    <n v="7.84620869997915E-2"/>
    <x v="23"/>
  </r>
  <r>
    <x v="1"/>
    <x v="2"/>
    <x v="0"/>
    <x v="24"/>
    <n v="0.32149024659991599"/>
    <x v="24"/>
    <n v="0.77577964770960395"/>
    <n v="1.0219437712580401E-3"/>
    <x v="24"/>
  </r>
  <r>
    <x v="1"/>
    <x v="3"/>
    <x v="0"/>
    <x v="25"/>
    <n v="0.15685434197787099"/>
    <x v="25"/>
    <n v="1.7709172992407701E-4"/>
    <n v="1.41537031534745E-3"/>
    <x v="25"/>
  </r>
  <r>
    <x v="1"/>
    <x v="4"/>
    <x v="0"/>
    <x v="26"/>
    <n v="-4.2480485240611897E-2"/>
    <x v="26"/>
    <n v="1.3114303510227899E-29"/>
    <n v="7.9927472061979603E-4"/>
    <x v="26"/>
  </r>
  <r>
    <x v="1"/>
    <x v="5"/>
    <x v="0"/>
    <x v="27"/>
    <n v="-0.102070659530934"/>
    <x v="27"/>
    <n v="2.5145142400003301E-27"/>
    <n v="5.7923062172875097E-4"/>
    <x v="27"/>
  </r>
  <r>
    <x v="1"/>
    <x v="2"/>
    <x v="1"/>
    <x v="28"/>
    <n v="21.629819128122101"/>
    <x v="28"/>
    <n v="2.3360129920193102E-3"/>
    <n v="6.5755118356968401E-2"/>
    <x v="28"/>
  </r>
  <r>
    <x v="1"/>
    <x v="3"/>
    <x v="1"/>
    <x v="29"/>
    <n v="8.4664930283405404"/>
    <x v="29"/>
    <n v="5.4031539833421598E-17"/>
    <n v="7.4584871540649397E-2"/>
    <x v="29"/>
  </r>
  <r>
    <x v="1"/>
    <x v="0"/>
    <x v="1"/>
    <x v="30"/>
    <n v="37.593136765919397"/>
    <x v="30"/>
    <n v="1.0819137675598401E-5"/>
    <n v="5.0659106136328198"/>
    <x v="30"/>
  </r>
  <r>
    <x v="1"/>
    <x v="1"/>
    <x v="1"/>
    <x v="31"/>
    <n v="42.200948415769098"/>
    <x v="31"/>
    <n v="2.78052693542559E-9"/>
    <n v="4.5214955094300704"/>
    <x v="31"/>
  </r>
  <r>
    <x v="1"/>
    <x v="2"/>
    <x v="2"/>
    <x v="32"/>
    <n v="40.548805754320298"/>
    <x v="32"/>
    <n v="6.4320791749605099E-3"/>
    <n v="9.5594301644575205E-2"/>
    <x v="32"/>
  </r>
  <r>
    <x v="1"/>
    <x v="3"/>
    <x v="2"/>
    <x v="33"/>
    <n v="29.166496849208698"/>
    <x v="33"/>
    <n v="4.4427237019628299E-8"/>
    <n v="0.12767103315227299"/>
    <x v="33"/>
  </r>
  <r>
    <x v="1"/>
    <x v="0"/>
    <x v="2"/>
    <x v="34"/>
    <n v="62.408763116091798"/>
    <x v="34"/>
    <n v="1.2529091457245401E-5"/>
    <n v="7.3160708246772996"/>
    <x v="34"/>
  </r>
  <r>
    <x v="1"/>
    <x v="1"/>
    <x v="2"/>
    <x v="35"/>
    <n v="67.851652081888801"/>
    <x v="35"/>
    <n v="4.2042628135148503E-8"/>
    <n v="6.6701971101883801"/>
    <x v="35"/>
  </r>
  <r>
    <x v="1"/>
    <x v="2"/>
    <x v="3"/>
    <x v="36"/>
    <n v="0.279995447924134"/>
    <x v="36"/>
    <n v="1.33427137296522E-5"/>
    <n v="2.6193635497674598E-3"/>
    <x v="36"/>
  </r>
  <r>
    <x v="1"/>
    <x v="3"/>
    <x v="3"/>
    <x v="37"/>
    <n v="-0.10223035759756199"/>
    <x v="37"/>
    <n v="4.1502823322437299E-15"/>
    <n v="3.2110020675998E-3"/>
    <x v="37"/>
  </r>
  <r>
    <x v="1"/>
    <x v="6"/>
    <x v="3"/>
    <x v="38"/>
    <n v="7.7185733226019099E-2"/>
    <x v="38"/>
    <n v="1.26073930926448E-21"/>
    <n v="0.17342537962738699"/>
    <x v="38"/>
  </r>
  <r>
    <x v="1"/>
    <x v="1"/>
    <x v="3"/>
    <x v="39"/>
    <n v="1.3806867290912499"/>
    <x v="39"/>
    <n v="2.55868912395346E-14"/>
    <n v="0.17041107908483799"/>
    <x v="39"/>
  </r>
  <r>
    <x v="1"/>
    <x v="4"/>
    <x v="3"/>
    <x v="40"/>
    <n v="-0.46341944778519201"/>
    <x v="40"/>
    <n v="1.8577638151396899E-78"/>
    <n v="8.5709651213235704E-4"/>
    <x v="40"/>
  </r>
  <r>
    <x v="1"/>
    <x v="5"/>
    <x v="3"/>
    <x v="41"/>
    <n v="-0.64995877229346299"/>
    <x v="41"/>
    <n v="2.6769398882148202E-58"/>
    <n v="8.8032862601672001E-4"/>
    <x v="41"/>
  </r>
  <r>
    <x v="1"/>
    <x v="7"/>
    <x v="4"/>
    <x v="42"/>
    <n v="-7.23678966749186E-6"/>
    <x v="42"/>
    <n v="0"/>
    <n v="1.22109572856173E-4"/>
    <x v="42"/>
  </r>
  <r>
    <x v="1"/>
    <x v="8"/>
    <x v="4"/>
    <x v="43"/>
    <n v="5.4931030877543002E-2"/>
    <x v="43"/>
    <n v="0.26874730860127399"/>
    <n v="0.128768033410947"/>
    <x v="43"/>
  </r>
  <r>
    <x v="2"/>
    <x v="0"/>
    <x v="0"/>
    <x v="44"/>
    <n v="0.156847168140307"/>
    <x v="44"/>
    <n v="1.30739223789008E-2"/>
    <n v="0.12868595342386699"/>
    <x v="44"/>
  </r>
  <r>
    <x v="2"/>
    <x v="1"/>
    <x v="0"/>
    <x v="45"/>
    <n v="0.127996355767374"/>
    <x v="45"/>
    <n v="1.1526124657611E-4"/>
    <n v="9.0090422297310999E-2"/>
    <x v="45"/>
  </r>
  <r>
    <x v="2"/>
    <x v="2"/>
    <x v="0"/>
    <x v="46"/>
    <n v="0.26516217459157199"/>
    <x v="46"/>
    <n v="0.308878155601158"/>
    <n v="6.32612822818537E-4"/>
    <x v="46"/>
  </r>
  <r>
    <x v="2"/>
    <x v="3"/>
    <x v="0"/>
    <x v="47"/>
    <n v="0.27664043007209499"/>
    <x v="47"/>
    <n v="8.8618103519157096E-2"/>
    <n v="7.0387849775428799E-4"/>
    <x v="47"/>
  </r>
  <r>
    <x v="2"/>
    <x v="4"/>
    <x v="0"/>
    <x v="48"/>
    <n v="-3.6346153150841103E-2"/>
    <x v="48"/>
    <n v="4.55422817390666E-26"/>
    <n v="6.4663627245023297E-4"/>
    <x v="48"/>
  </r>
  <r>
    <x v="2"/>
    <x v="5"/>
    <x v="0"/>
    <x v="49"/>
    <n v="-6.0667621008393097E-2"/>
    <x v="49"/>
    <n v="7.9974270068852394E-27"/>
    <n v="4.0835899227169298E-4"/>
    <x v="49"/>
  </r>
  <r>
    <x v="2"/>
    <x v="2"/>
    <x v="1"/>
    <x v="50"/>
    <n v="24.519203164336201"/>
    <x v="50"/>
    <n v="5.02702664638459E-2"/>
    <n v="5.5378957755356402E-2"/>
    <x v="50"/>
  </r>
  <r>
    <x v="2"/>
    <x v="3"/>
    <x v="1"/>
    <x v="51"/>
    <n v="18.437362419444"/>
    <x v="51"/>
    <n v="1.3481397709216499E-7"/>
    <n v="5.6087695296205699E-2"/>
    <x v="51"/>
  </r>
  <r>
    <x v="2"/>
    <x v="0"/>
    <x v="1"/>
    <x v="52"/>
    <n v="37.7160308375908"/>
    <x v="52"/>
    <n v="4.8876609215090404E-3"/>
    <n v="11.3149236757321"/>
    <x v="52"/>
  </r>
  <r>
    <x v="2"/>
    <x v="1"/>
    <x v="1"/>
    <x v="53"/>
    <n v="37.637364402752098"/>
    <x v="53"/>
    <n v="2.1396027905829802E-3"/>
    <n v="8.1679350252597693"/>
    <x v="53"/>
  </r>
  <r>
    <x v="2"/>
    <x v="2"/>
    <x v="2"/>
    <x v="54"/>
    <n v="43.999920672558503"/>
    <x v="54"/>
    <n v="0.124309174999545"/>
    <n v="8.6958081743416196E-2"/>
    <x v="54"/>
  </r>
  <r>
    <x v="2"/>
    <x v="3"/>
    <x v="2"/>
    <x v="55"/>
    <n v="33.733345303579597"/>
    <x v="55"/>
    <n v="9.0180799528606302E-7"/>
    <n v="8.8898544972945706E-2"/>
    <x v="55"/>
  </r>
  <r>
    <x v="2"/>
    <x v="0"/>
    <x v="2"/>
    <x v="56"/>
    <n v="60.590917104616501"/>
    <x v="56"/>
    <n v="2.1790922512476101E-2"/>
    <n v="17.857141074655601"/>
    <x v="56"/>
  </r>
  <r>
    <x v="2"/>
    <x v="1"/>
    <x v="2"/>
    <x v="57"/>
    <n v="60.229153447618799"/>
    <x v="57"/>
    <n v="1.51548277478286E-2"/>
    <n v="12.938348214739801"/>
    <x v="57"/>
  </r>
  <r>
    <x v="2"/>
    <x v="2"/>
    <x v="3"/>
    <x v="58"/>
    <n v="0.45386596184675798"/>
    <x v="58"/>
    <n v="2.0751462433303302E-3"/>
    <n v="2.2448922318797598E-3"/>
    <x v="58"/>
  </r>
  <r>
    <x v="2"/>
    <x v="3"/>
    <x v="3"/>
    <x v="59"/>
    <n v="0.27711592778900401"/>
    <x v="59"/>
    <n v="2.2901949536922301E-9"/>
    <n v="2.2518317888294702E-3"/>
    <x v="59"/>
  </r>
  <r>
    <x v="2"/>
    <x v="6"/>
    <x v="3"/>
    <x v="60"/>
    <n v="0.204554435195345"/>
    <x v="60"/>
    <n v="3.0879719892569501E-21"/>
    <n v="0.23141704241641201"/>
    <x v="60"/>
  </r>
  <r>
    <x v="2"/>
    <x v="1"/>
    <x v="3"/>
    <x v="61"/>
    <n v="1.22867443128219"/>
    <x v="61"/>
    <n v="3.88102685080002E-5"/>
    <n v="0.32850218900964601"/>
    <x v="61"/>
  </r>
  <r>
    <x v="2"/>
    <x v="4"/>
    <x v="3"/>
    <x v="62"/>
    <n v="-0.413986696295362"/>
    <x v="62"/>
    <n v="2.06250073833041E-93"/>
    <n v="6.4039057256221803E-4"/>
    <x v="62"/>
  </r>
  <r>
    <x v="2"/>
    <x v="5"/>
    <x v="3"/>
    <x v="63"/>
    <n v="-0.48535674245977001"/>
    <x v="63"/>
    <n v="4.88078000233268E-70"/>
    <n v="6.4744501217078496E-4"/>
    <x v="63"/>
  </r>
  <r>
    <x v="2"/>
    <x v="7"/>
    <x v="4"/>
    <x v="64"/>
    <n v="9.6713235089550197E-5"/>
    <x v="64"/>
    <n v="9.6865020921238504E-57"/>
    <n v="3.3984451843175001E-2"/>
    <x v="64"/>
  </r>
  <r>
    <x v="2"/>
    <x v="8"/>
    <x v="4"/>
    <x v="65"/>
    <n v="6.5662096464982E-2"/>
    <x v="65"/>
    <n v="2.39092668508749E-2"/>
    <n v="4.3508046713010097E-2"/>
    <x v="6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樞紐分析表1" cacheId="7" applyNumberFormats="0" applyBorderFormats="0" applyFontFormats="0" applyPatternFormats="0" applyAlignmentFormats="0" applyWidthHeightFormats="1" dataCaption="值" updatedVersion="7" minRefreshableVersion="3" useAutoFormatting="1" itemPrintTitles="1" createdVersion="7" indent="0" compact="0" compactData="0" gridDropZones="1" multipleFieldFilters="0" chartFormat="1">
  <location ref="A1:N26" firstHeaderRow="1" firstDataRow="3" firstDataCol="2"/>
  <pivotFields count="9">
    <pivotField axis="axisCol" compact="0" outline="0" showAll="0" defaultSubtotal="0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">
        <item x="4"/>
        <item x="1"/>
        <item x="0"/>
        <item x="3"/>
        <item x="2"/>
        <item x="6"/>
        <item x="5"/>
        <item x="8"/>
        <item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">
        <item x="1"/>
        <item x="0"/>
        <item x="2"/>
        <item x="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items count="67">
        <item x="56"/>
        <item x="35"/>
        <item x="34"/>
        <item x="52"/>
        <item x="57"/>
        <item x="31"/>
        <item x="53"/>
        <item x="30"/>
        <item x="9"/>
        <item x="8"/>
        <item x="13"/>
        <item x="12"/>
        <item x="39"/>
        <item x="61"/>
        <item x="17"/>
        <item x="65"/>
        <item x="2"/>
        <item x="47"/>
        <item x="46"/>
        <item x="24"/>
        <item x="14"/>
        <item x="3"/>
        <item x="25"/>
        <item x="49"/>
        <item x="58"/>
        <item x="27"/>
        <item x="48"/>
        <item x="5"/>
        <item x="36"/>
        <item x="26"/>
        <item x="4"/>
        <item x="59"/>
        <item x="19"/>
        <item x="63"/>
        <item x="15"/>
        <item x="41"/>
        <item x="37"/>
        <item x="18"/>
        <item x="23"/>
        <item x="6"/>
        <item x="40"/>
        <item x="62"/>
        <item x="21"/>
        <item x="10"/>
        <item x="22"/>
        <item x="50"/>
        <item x="54"/>
        <item x="43"/>
        <item x="1"/>
        <item x="28"/>
        <item x="0"/>
        <item x="32"/>
        <item x="51"/>
        <item x="44"/>
        <item x="45"/>
        <item x="55"/>
        <item x="11"/>
        <item x="29"/>
        <item x="33"/>
        <item x="7"/>
        <item x="42"/>
        <item x="20"/>
        <item x="64"/>
        <item x="16"/>
        <item x="38"/>
        <item x="6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items count="67">
        <item x="39"/>
        <item x="31"/>
        <item x="17"/>
        <item x="35"/>
        <item x="30"/>
        <item x="34"/>
        <item x="9"/>
        <item x="61"/>
        <item x="53"/>
        <item x="52"/>
        <item x="57"/>
        <item x="8"/>
        <item x="56"/>
        <item x="65"/>
        <item x="47"/>
        <item x="2"/>
        <item x="13"/>
        <item x="12"/>
        <item x="46"/>
        <item x="24"/>
        <item x="10"/>
        <item x="23"/>
        <item x="21"/>
        <item x="6"/>
        <item x="22"/>
        <item x="43"/>
        <item x="54"/>
        <item x="14"/>
        <item x="50"/>
        <item x="44"/>
        <item x="3"/>
        <item x="32"/>
        <item x="1"/>
        <item x="28"/>
        <item x="58"/>
        <item x="0"/>
        <item x="11"/>
        <item x="25"/>
        <item x="45"/>
        <item x="36"/>
        <item x="55"/>
        <item x="51"/>
        <item x="33"/>
        <item x="59"/>
        <item x="15"/>
        <item x="7"/>
        <item x="37"/>
        <item x="29"/>
        <item x="16"/>
        <item x="60"/>
        <item x="38"/>
        <item x="4"/>
        <item x="48"/>
        <item x="49"/>
        <item x="27"/>
        <item x="26"/>
        <item x="5"/>
        <item x="19"/>
        <item x="64"/>
        <item x="41"/>
        <item x="63"/>
        <item x="18"/>
        <item x="40"/>
        <item x="62"/>
        <item x="20"/>
        <item x="4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items count="67">
        <item x="24"/>
        <item x="10"/>
        <item x="23"/>
        <item x="21"/>
        <item x="6"/>
        <item x="22"/>
        <item x="46"/>
        <item x="43"/>
        <item x="12"/>
        <item x="54"/>
        <item x="14"/>
        <item x="13"/>
        <item x="2"/>
        <item x="47"/>
        <item x="50"/>
        <item x="65"/>
        <item x="56"/>
        <item x="8"/>
        <item x="57"/>
        <item x="44"/>
        <item x="3"/>
        <item x="32"/>
        <item x="52"/>
        <item x="1"/>
        <item x="28"/>
        <item x="53"/>
        <item x="58"/>
        <item x="0"/>
        <item x="11"/>
        <item x="25"/>
        <item x="45"/>
        <item x="61"/>
        <item x="9"/>
        <item x="36"/>
        <item x="34"/>
        <item x="30"/>
        <item x="55"/>
        <item x="51"/>
        <item x="33"/>
        <item x="35"/>
        <item x="17"/>
        <item x="31"/>
        <item x="59"/>
        <item x="15"/>
        <item x="39"/>
        <item x="7"/>
        <item x="37"/>
        <item x="29"/>
        <item x="16"/>
        <item x="60"/>
        <item x="38"/>
        <item x="4"/>
        <item x="48"/>
        <item x="49"/>
        <item x="27"/>
        <item x="26"/>
        <item x="5"/>
        <item x="19"/>
        <item x="64"/>
        <item x="41"/>
        <item x="63"/>
        <item x="18"/>
        <item x="40"/>
        <item x="62"/>
        <item x="20"/>
        <item x="4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2"/>
    <field x="1"/>
  </rowFields>
  <rowItems count="23">
    <i>
      <x/>
      <x v="1"/>
    </i>
    <i r="1">
      <x v="2"/>
    </i>
    <i r="1">
      <x v="3"/>
    </i>
    <i r="1">
      <x v="4"/>
    </i>
    <i>
      <x v="1"/>
      <x/>
    </i>
    <i r="1">
      <x v="1"/>
    </i>
    <i r="1">
      <x v="2"/>
    </i>
    <i r="1">
      <x v="3"/>
    </i>
    <i r="1">
      <x v="4"/>
    </i>
    <i r="1">
      <x v="6"/>
    </i>
    <i>
      <x v="2"/>
      <x v="1"/>
    </i>
    <i r="1">
      <x v="2"/>
    </i>
    <i r="1">
      <x v="3"/>
    </i>
    <i r="1">
      <x v="4"/>
    </i>
    <i>
      <x v="3"/>
      <x/>
    </i>
    <i r="1">
      <x v="1"/>
    </i>
    <i r="1">
      <x v="3"/>
    </i>
    <i r="1">
      <x v="4"/>
    </i>
    <i r="1">
      <x v="5"/>
    </i>
    <i r="1">
      <x v="6"/>
    </i>
    <i>
      <x v="4"/>
      <x v="7"/>
    </i>
    <i r="1">
      <x v="8"/>
    </i>
    <i t="grand">
      <x/>
    </i>
  </rowItems>
  <colFields count="2">
    <field x="0"/>
    <field x="-2"/>
  </colFields>
  <colItems count="12">
    <i>
      <x/>
      <x/>
    </i>
    <i r="1" i="1">
      <x v="1"/>
    </i>
    <i r="1" i="2">
      <x v="2"/>
    </i>
    <i>
      <x v="1"/>
      <x/>
    </i>
    <i r="1" i="1">
      <x v="1"/>
    </i>
    <i r="1" i="2">
      <x v="2"/>
    </i>
    <i>
      <x v="2"/>
      <x/>
    </i>
    <i r="1" i="1">
      <x v="1"/>
    </i>
    <i r="1" i="2">
      <x v="2"/>
    </i>
    <i t="grand">
      <x/>
    </i>
    <i t="grand" i="1">
      <x/>
    </i>
    <i t="grand" i="2">
      <x/>
    </i>
  </colItems>
  <dataFields count="3">
    <dataField name="加總 - R" fld="5" baseField="0" baseItem="0"/>
    <dataField name="加總 - Slope" fld="3" baseField="0" baseItem="0"/>
    <dataField name="加總 - R_sq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"/>
  <sheetViews>
    <sheetView topLeftCell="A5" zoomScale="160" workbookViewId="0">
      <selection activeCell="B31" sqref="B31"/>
    </sheetView>
  </sheetViews>
  <sheetFormatPr baseColWidth="10" defaultRowHeight="15"/>
  <cols>
    <col min="1" max="1" width="32" bestFit="1" customWidth="1"/>
    <col min="2" max="2" width="27.6640625" bestFit="1" customWidth="1"/>
    <col min="3" max="11" width="13.83203125" bestFit="1" customWidth="1"/>
    <col min="12" max="12" width="15.83203125" bestFit="1" customWidth="1"/>
    <col min="13" max="13" width="19.1640625" bestFit="1" customWidth="1"/>
    <col min="14" max="14" width="18.83203125" bestFit="1" customWidth="1"/>
  </cols>
  <sheetData>
    <row r="1" spans="1:14">
      <c r="C1" s="2" t="s">
        <v>0</v>
      </c>
      <c r="D1" s="2" t="s">
        <v>30</v>
      </c>
    </row>
    <row r="2" spans="1:14">
      <c r="C2" t="s">
        <v>8</v>
      </c>
      <c r="D2" t="s">
        <v>8</v>
      </c>
      <c r="E2" t="s">
        <v>8</v>
      </c>
      <c r="F2" t="s">
        <v>20</v>
      </c>
      <c r="G2" t="s">
        <v>20</v>
      </c>
      <c r="H2" t="s">
        <v>20</v>
      </c>
      <c r="I2" t="s">
        <v>21</v>
      </c>
      <c r="J2" t="s">
        <v>21</v>
      </c>
      <c r="K2" t="s">
        <v>21</v>
      </c>
      <c r="L2" t="s">
        <v>25</v>
      </c>
      <c r="M2" t="s">
        <v>26</v>
      </c>
      <c r="N2" t="s">
        <v>28</v>
      </c>
    </row>
    <row r="3" spans="1:14">
      <c r="A3" s="2" t="s">
        <v>2</v>
      </c>
      <c r="B3" s="2" t="s">
        <v>1</v>
      </c>
      <c r="C3" t="s">
        <v>24</v>
      </c>
      <c r="D3" t="s">
        <v>27</v>
      </c>
      <c r="E3" t="s">
        <v>29</v>
      </c>
      <c r="F3" t="s">
        <v>24</v>
      </c>
      <c r="G3" t="s">
        <v>27</v>
      </c>
      <c r="H3" t="s">
        <v>29</v>
      </c>
      <c r="I3" t="s">
        <v>24</v>
      </c>
      <c r="J3" t="s">
        <v>27</v>
      </c>
      <c r="K3" t="s">
        <v>29</v>
      </c>
    </row>
    <row r="4" spans="1:14">
      <c r="A4" t="s">
        <v>14</v>
      </c>
      <c r="B4" t="s">
        <v>11</v>
      </c>
      <c r="C4" s="3">
        <v>-0.380429791731758</v>
      </c>
      <c r="D4" s="3">
        <v>-15.6953570580184</v>
      </c>
      <c r="E4" s="3">
        <v>0.14472682643706877</v>
      </c>
      <c r="F4" s="3">
        <v>-0.50957992833084498</v>
      </c>
      <c r="G4" s="3">
        <v>-29.088628575125199</v>
      </c>
      <c r="H4" s="3">
        <v>0.25967170335766909</v>
      </c>
      <c r="I4" s="3">
        <v>-0.277638448486483</v>
      </c>
      <c r="J4" s="3">
        <v>-25.641981904146299</v>
      </c>
      <c r="K4" s="3">
        <v>7.708310807798148E-2</v>
      </c>
      <c r="L4" s="3">
        <v>-1.167648168549086</v>
      </c>
      <c r="M4" s="3">
        <v>-70.425967537289893</v>
      </c>
      <c r="N4" s="3">
        <v>0.48148163787271936</v>
      </c>
    </row>
    <row r="5" spans="1:14">
      <c r="A5" t="s">
        <v>14</v>
      </c>
      <c r="B5" t="s">
        <v>9</v>
      </c>
      <c r="C5" s="3">
        <v>-0.20997194028300201</v>
      </c>
      <c r="D5" s="3">
        <v>-9.58545577335145</v>
      </c>
      <c r="E5" s="3">
        <v>4.4088215706208564E-2</v>
      </c>
      <c r="F5" s="3">
        <v>-0.389751178418204</v>
      </c>
      <c r="G5" s="3">
        <v>-23.2897036797258</v>
      </c>
      <c r="H5" s="3">
        <v>0.15190598107837869</v>
      </c>
      <c r="I5" s="3">
        <v>-0.25531357377200897</v>
      </c>
      <c r="J5" s="3">
        <v>-32.456651011852301</v>
      </c>
      <c r="K5" s="3">
        <v>6.5185020952235065E-2</v>
      </c>
      <c r="L5" s="3">
        <v>-0.8550366924732149</v>
      </c>
      <c r="M5" s="3">
        <v>-65.331810464929561</v>
      </c>
      <c r="N5" s="3">
        <v>0.26117921773682229</v>
      </c>
    </row>
    <row r="6" spans="1:14">
      <c r="A6" t="s">
        <v>14</v>
      </c>
      <c r="B6" t="s">
        <v>13</v>
      </c>
      <c r="C6" s="3">
        <v>0.63674807862557903</v>
      </c>
      <c r="D6" s="3">
        <v>0.76811814029329495</v>
      </c>
      <c r="E6" s="3">
        <v>0.40544811563336658</v>
      </c>
      <c r="F6" s="3">
        <v>0.67054947257564901</v>
      </c>
      <c r="G6" s="3">
        <v>0.73231478200198696</v>
      </c>
      <c r="H6" s="3">
        <v>0.44963659517148108</v>
      </c>
      <c r="I6" s="3">
        <v>0.45896031499275203</v>
      </c>
      <c r="J6" s="3">
        <v>0.31473673346279302</v>
      </c>
      <c r="K6" s="3">
        <v>0.21064457073824616</v>
      </c>
      <c r="L6" s="3">
        <v>1.7662578661939801</v>
      </c>
      <c r="M6" s="3">
        <v>1.815169655758075</v>
      </c>
      <c r="N6" s="3">
        <v>1.0657292815430939</v>
      </c>
    </row>
    <row r="7" spans="1:14">
      <c r="A7" t="s">
        <v>14</v>
      </c>
      <c r="B7" t="s">
        <v>12</v>
      </c>
      <c r="C7" s="3">
        <v>5.8083899707604199E-2</v>
      </c>
      <c r="D7" s="3">
        <v>4.01559444397123E-2</v>
      </c>
      <c r="E7" s="3">
        <v>3.3737394052430233E-3</v>
      </c>
      <c r="F7" s="3">
        <v>0.27535085165519901</v>
      </c>
      <c r="G7" s="3">
        <v>0.20458710655859999</v>
      </c>
      <c r="H7" s="3">
        <v>7.5818091507243418E-2</v>
      </c>
      <c r="I7" s="3">
        <v>0.17913548671227</v>
      </c>
      <c r="J7" s="3">
        <v>0.10953421853569301</v>
      </c>
      <c r="K7" s="3">
        <v>3.2089522599641866E-2</v>
      </c>
      <c r="L7" s="3">
        <v>0.51257023807507318</v>
      </c>
      <c r="M7" s="3">
        <v>0.35427726953400529</v>
      </c>
      <c r="N7" s="3">
        <v>0.11128135351212831</v>
      </c>
    </row>
    <row r="8" spans="1:14">
      <c r="A8" t="s">
        <v>10</v>
      </c>
      <c r="B8" t="s">
        <v>14</v>
      </c>
      <c r="C8" s="3">
        <v>0.75450238783692603</v>
      </c>
      <c r="D8" s="3">
        <v>1.2538836573486299E-2</v>
      </c>
      <c r="E8" s="3">
        <v>0.56927385325162316</v>
      </c>
      <c r="F8" s="3">
        <v>0.81396575370755297</v>
      </c>
      <c r="G8" s="3">
        <v>1.21655632967923E-2</v>
      </c>
      <c r="H8" s="3">
        <v>0.66254024820870483</v>
      </c>
      <c r="I8" s="3">
        <v>0.78280518049185799</v>
      </c>
      <c r="J8" s="3">
        <v>8.8364552451576199E-3</v>
      </c>
      <c r="K8" s="3">
        <v>0.61278395060489033</v>
      </c>
      <c r="L8" s="3">
        <v>2.3512733220363371</v>
      </c>
      <c r="M8" s="3">
        <v>3.3540855115436224E-2</v>
      </c>
      <c r="N8" s="3">
        <v>1.8445980520652183</v>
      </c>
    </row>
    <row r="9" spans="1:14">
      <c r="A9" t="s">
        <v>10</v>
      </c>
      <c r="B9" t="s">
        <v>11</v>
      </c>
      <c r="C9" s="3">
        <v>0.26803507519912501</v>
      </c>
      <c r="D9" s="3">
        <v>0.18377436621940199</v>
      </c>
      <c r="E9" s="3">
        <v>7.1842801537000595E-2</v>
      </c>
      <c r="F9" s="3">
        <v>4.4794977392879701E-2</v>
      </c>
      <c r="G9" s="3">
        <v>3.8217858162441699E-2</v>
      </c>
      <c r="H9" s="3">
        <v>2.0065899996286034E-3</v>
      </c>
      <c r="I9" s="3">
        <v>0.344756100663831</v>
      </c>
      <c r="J9" s="3">
        <v>0.35942504160178801</v>
      </c>
      <c r="K9" s="3">
        <v>0.11885676894492958</v>
      </c>
      <c r="L9" s="3">
        <v>0.65758615325583569</v>
      </c>
      <c r="M9" s="3">
        <v>0.58141726598363164</v>
      </c>
      <c r="N9" s="3">
        <v>0.19270616048155878</v>
      </c>
    </row>
    <row r="10" spans="1:14">
      <c r="A10" t="s">
        <v>10</v>
      </c>
      <c r="B10" t="s">
        <v>9</v>
      </c>
      <c r="C10" s="3">
        <v>0.27957214073853798</v>
      </c>
      <c r="D10" s="3">
        <v>0.21210066084906801</v>
      </c>
      <c r="E10" s="3">
        <v>7.816058187712889E-2</v>
      </c>
      <c r="F10" s="3">
        <v>6.5757989686815704E-2</v>
      </c>
      <c r="G10" s="3">
        <v>5.8728802209759297E-2</v>
      </c>
      <c r="H10" s="3">
        <v>4.3241132076513606E-3</v>
      </c>
      <c r="I10" s="3">
        <v>0.22597833671178699</v>
      </c>
      <c r="J10" s="3">
        <v>0.32428062390837098</v>
      </c>
      <c r="K10" s="3">
        <v>5.1066208663025775E-2</v>
      </c>
      <c r="L10" s="3">
        <v>0.57130846713714067</v>
      </c>
      <c r="M10" s="3">
        <v>0.59511008696719836</v>
      </c>
      <c r="N10" s="3">
        <v>0.13355090374780604</v>
      </c>
    </row>
    <row r="11" spans="1:14">
      <c r="A11" t="s">
        <v>10</v>
      </c>
      <c r="B11" t="s">
        <v>13</v>
      </c>
      <c r="C11" s="3">
        <v>0.227929163891395</v>
      </c>
      <c r="D11" s="3">
        <v>4.5693760328593099E-3</v>
      </c>
      <c r="E11" s="3">
        <v>5.1951703752230405E-2</v>
      </c>
      <c r="F11" s="3">
        <v>0.335812980414183</v>
      </c>
      <c r="G11" s="3">
        <v>5.4813879938526103E-3</v>
      </c>
      <c r="H11" s="3">
        <v>0.11277035781465646</v>
      </c>
      <c r="I11" s="3">
        <v>-0.156116997740717</v>
      </c>
      <c r="J11" s="3">
        <v>-1.2085006271549299E-3</v>
      </c>
      <c r="K11" s="3">
        <v>2.4372516983575034E-2</v>
      </c>
      <c r="L11" s="3">
        <v>0.40762514656486104</v>
      </c>
      <c r="M11" s="3">
        <v>8.8422633995569912E-3</v>
      </c>
      <c r="N11" s="3">
        <v>0.18909457855046188</v>
      </c>
    </row>
    <row r="12" spans="1:14">
      <c r="A12" t="s">
        <v>10</v>
      </c>
      <c r="B12" t="s">
        <v>12</v>
      </c>
      <c r="C12" s="3">
        <v>-0.15109454625841301</v>
      </c>
      <c r="D12" s="3">
        <v>-1.7359591050037401E-3</v>
      </c>
      <c r="E12" s="3">
        <v>2.282956190903571E-2</v>
      </c>
      <c r="F12" s="3">
        <v>-2.6271166203389301E-2</v>
      </c>
      <c r="G12" s="3">
        <v>-2.9174087271690397E-4</v>
      </c>
      <c r="H12" s="3">
        <v>6.9017417368610423E-4</v>
      </c>
      <c r="I12" s="3">
        <v>-9.3667815876104898E-2</v>
      </c>
      <c r="J12" s="3">
        <v>-6.4652149836429205E-4</v>
      </c>
      <c r="K12" s="3">
        <v>8.7736597309998887E-3</v>
      </c>
      <c r="L12" s="3">
        <v>-0.27103352833790717</v>
      </c>
      <c r="M12" s="3">
        <v>-2.6742214760849363E-3</v>
      </c>
      <c r="N12" s="3">
        <v>3.2293395813721704E-2</v>
      </c>
    </row>
    <row r="13" spans="1:14">
      <c r="A13" t="s">
        <v>10</v>
      </c>
      <c r="B13" t="s">
        <v>15</v>
      </c>
      <c r="C13" s="3">
        <v>0.84521207778102103</v>
      </c>
      <c r="D13" s="3">
        <v>9.1401978033303095E-3</v>
      </c>
      <c r="E13" s="3">
        <v>0.7143834564269107</v>
      </c>
      <c r="F13" s="3">
        <v>0.79450904361514096</v>
      </c>
      <c r="G13" s="3">
        <v>8.2323187856871097E-3</v>
      </c>
      <c r="H13" s="3">
        <v>0.63124462038624596</v>
      </c>
      <c r="I13" s="3">
        <v>0.78992251615156595</v>
      </c>
      <c r="J13" s="3">
        <v>5.7142699227271604E-3</v>
      </c>
      <c r="K13" s="3">
        <v>0.62397758152322091</v>
      </c>
      <c r="L13" s="3">
        <v>2.4296436375477279</v>
      </c>
      <c r="M13" s="3">
        <v>2.3086786511744579E-2</v>
      </c>
      <c r="N13" s="3">
        <v>1.9696056583363777</v>
      </c>
    </row>
    <row r="14" spans="1:14">
      <c r="A14" t="s">
        <v>15</v>
      </c>
      <c r="B14" t="s">
        <v>11</v>
      </c>
      <c r="C14" s="3">
        <v>-0.14370222468003299</v>
      </c>
      <c r="D14" s="3">
        <v>-9.1110178069940595</v>
      </c>
      <c r="E14" s="3">
        <v>2.0650329377990682E-2</v>
      </c>
      <c r="F14" s="3">
        <v>-0.47503632840399901</v>
      </c>
      <c r="G14" s="3">
        <v>-39.114745742862297</v>
      </c>
      <c r="H14" s="3">
        <v>0.225659513303552</v>
      </c>
      <c r="I14" s="3">
        <v>-0.22126576668631001</v>
      </c>
      <c r="J14" s="3">
        <v>-31.888518333575099</v>
      </c>
      <c r="K14" s="3">
        <v>4.8958539507280574E-2</v>
      </c>
      <c r="L14" s="3">
        <v>-0.84000431977034207</v>
      </c>
      <c r="M14" s="3">
        <v>-80.11428188343146</v>
      </c>
      <c r="N14" s="3">
        <v>0.29526838218882323</v>
      </c>
    </row>
    <row r="15" spans="1:14">
      <c r="A15" t="s">
        <v>15</v>
      </c>
      <c r="B15" t="s">
        <v>9</v>
      </c>
      <c r="C15" s="3">
        <v>-0.106844710300367</v>
      </c>
      <c r="D15" s="3">
        <v>-7.4956837590454599</v>
      </c>
      <c r="E15" s="3">
        <v>1.1415792119169351E-2</v>
      </c>
      <c r="F15" s="3">
        <v>-0.387145877397086</v>
      </c>
      <c r="G15" s="3">
        <v>-33.369824300806002</v>
      </c>
      <c r="H15" s="3">
        <v>0.14988193038555955</v>
      </c>
      <c r="I15" s="3">
        <v>-0.20927787454882099</v>
      </c>
      <c r="J15" s="3">
        <v>-41.514637512536197</v>
      </c>
      <c r="K15" s="3">
        <v>4.3797228775672055E-2</v>
      </c>
      <c r="L15" s="3">
        <v>-0.70326846224627404</v>
      </c>
      <c r="M15" s="3">
        <v>-82.380145572387661</v>
      </c>
      <c r="N15" s="3">
        <v>0.20509495128040095</v>
      </c>
    </row>
    <row r="16" spans="1:14">
      <c r="A16" t="s">
        <v>15</v>
      </c>
      <c r="B16" t="s">
        <v>13</v>
      </c>
      <c r="C16" s="3">
        <v>0.28507695756997298</v>
      </c>
      <c r="D16" s="3">
        <v>0.528480804136928</v>
      </c>
      <c r="E16" s="3">
        <v>8.1268871737352172E-2</v>
      </c>
      <c r="F16" s="3">
        <v>0.47429351024641497</v>
      </c>
      <c r="G16" s="3">
        <v>0.74716567602334305</v>
      </c>
      <c r="H16" s="3">
        <v>0.22495433386186614</v>
      </c>
      <c r="I16" s="3">
        <v>0.43082910400895202</v>
      </c>
      <c r="J16" s="3">
        <v>0.461026049448783</v>
      </c>
      <c r="K16" s="3">
        <v>0.18561371686115641</v>
      </c>
      <c r="L16" s="3">
        <v>1.19019957182534</v>
      </c>
      <c r="M16" s="3">
        <v>1.7366725296090542</v>
      </c>
      <c r="N16" s="3">
        <v>0.49183692246037475</v>
      </c>
    </row>
    <row r="17" spans="1:14">
      <c r="A17" t="s">
        <v>15</v>
      </c>
      <c r="B17" t="s">
        <v>12</v>
      </c>
      <c r="C17" s="3">
        <v>4.4115408837759197E-2</v>
      </c>
      <c r="D17" s="3">
        <v>4.68695851505928E-2</v>
      </c>
      <c r="E17" s="3">
        <v>1.9461692969226423E-3</v>
      </c>
      <c r="F17" s="3">
        <v>0.24745730659140899</v>
      </c>
      <c r="G17" s="3">
        <v>0.26521303949611702</v>
      </c>
      <c r="H17" s="3">
        <v>6.1235118585474591E-2</v>
      </c>
      <c r="I17" s="3">
        <v>0.14107630891064299</v>
      </c>
      <c r="J17" s="3">
        <v>0.134607856215988</v>
      </c>
      <c r="K17" s="3">
        <v>1.9902524935851165E-2</v>
      </c>
      <c r="L17" s="3">
        <v>0.43264902433981117</v>
      </c>
      <c r="M17" s="3">
        <v>0.4466904808626978</v>
      </c>
      <c r="N17" s="3">
        <v>8.3083812818248393E-2</v>
      </c>
    </row>
    <row r="18" spans="1:14">
      <c r="A18" t="s">
        <v>16</v>
      </c>
      <c r="B18" t="s">
        <v>14</v>
      </c>
      <c r="C18" s="3">
        <v>0.97128601443274198</v>
      </c>
      <c r="D18" s="3">
        <v>3.5700101424808103E-2</v>
      </c>
      <c r="E18" s="3">
        <v>0.94339652183264067</v>
      </c>
      <c r="F18" s="3">
        <v>0.97452513785460304</v>
      </c>
      <c r="G18" s="3">
        <v>4.0455402163223499E-2</v>
      </c>
      <c r="H18" s="3">
        <v>0.9496992443105331</v>
      </c>
      <c r="I18" s="3">
        <v>0.98586680484942402</v>
      </c>
      <c r="J18" s="3">
        <v>4.0936333418265802E-2</v>
      </c>
      <c r="K18" s="3">
        <v>0.97193335690401228</v>
      </c>
      <c r="L18" s="3">
        <v>2.931677957136769</v>
      </c>
      <c r="M18" s="3">
        <v>0.11709183700629741</v>
      </c>
      <c r="N18" s="3">
        <v>2.865029123047186</v>
      </c>
    </row>
    <row r="19" spans="1:14">
      <c r="A19" t="s">
        <v>16</v>
      </c>
      <c r="B19" t="s">
        <v>11</v>
      </c>
      <c r="C19" s="3">
        <v>-0.50203790908260204</v>
      </c>
      <c r="D19" s="3">
        <v>-0.76129943458405902</v>
      </c>
      <c r="E19" s="3">
        <v>0.25204206215603098</v>
      </c>
      <c r="F19" s="3">
        <v>-0.62432092909411097</v>
      </c>
      <c r="G19" s="3">
        <v>-1.47945685177357</v>
      </c>
      <c r="H19" s="3">
        <v>0.38977662250493395</v>
      </c>
      <c r="I19" s="3">
        <v>-0.36629071624666798</v>
      </c>
      <c r="J19" s="3">
        <v>-1.4047161953554299</v>
      </c>
      <c r="K19" s="3">
        <v>0.13416888880849703</v>
      </c>
      <c r="L19" s="3">
        <v>-1.4926495544233811</v>
      </c>
      <c r="M19" s="3">
        <v>-3.6454724817130586</v>
      </c>
      <c r="N19" s="3">
        <v>0.7759875734694619</v>
      </c>
    </row>
    <row r="20" spans="1:14">
      <c r="A20" t="s">
        <v>16</v>
      </c>
      <c r="B20" t="s">
        <v>13</v>
      </c>
      <c r="C20" s="3">
        <v>0.59202474827338203</v>
      </c>
      <c r="D20" s="3">
        <v>2.6249591848469801E-2</v>
      </c>
      <c r="E20" s="3">
        <v>0.35049330256816136</v>
      </c>
      <c r="F20" s="3">
        <v>0.63881218617197799</v>
      </c>
      <c r="G20" s="3">
        <v>2.8961672900647498E-2</v>
      </c>
      <c r="H20" s="3">
        <v>0.40808100920182189</v>
      </c>
      <c r="I20" s="3">
        <v>0.51190658452898496</v>
      </c>
      <c r="J20" s="3">
        <v>1.4576515255885601E-2</v>
      </c>
      <c r="K20" s="3">
        <v>0.26204835128413084</v>
      </c>
      <c r="L20" s="3">
        <v>1.742743518974345</v>
      </c>
      <c r="M20" s="3">
        <v>6.9787780005002895E-2</v>
      </c>
      <c r="N20" s="3">
        <v>1.0206226630541142</v>
      </c>
    </row>
    <row r="21" spans="1:14">
      <c r="A21" t="s">
        <v>16</v>
      </c>
      <c r="B21" t="s">
        <v>12</v>
      </c>
      <c r="C21" s="3">
        <v>0.141694726563696</v>
      </c>
      <c r="D21" s="3">
        <v>3.60056022731869E-3</v>
      </c>
      <c r="E21" s="3">
        <v>2.0077395535960576E-2</v>
      </c>
      <c r="F21" s="3">
        <v>0.38602198059102599</v>
      </c>
      <c r="G21" s="3">
        <v>1.1906588583388E-2</v>
      </c>
      <c r="H21" s="3">
        <v>0.14901296949941845</v>
      </c>
      <c r="I21" s="3">
        <v>0.27843071594603802</v>
      </c>
      <c r="J21" s="3">
        <v>7.0692937415395302E-3</v>
      </c>
      <c r="K21" s="3">
        <v>7.7523663582223318E-2</v>
      </c>
      <c r="L21" s="3">
        <v>0.80614742310075993</v>
      </c>
      <c r="M21" s="3">
        <v>2.2576442552246223E-2</v>
      </c>
      <c r="N21" s="3">
        <v>0.24661402861760234</v>
      </c>
    </row>
    <row r="22" spans="1:14">
      <c r="A22" t="s">
        <v>16</v>
      </c>
      <c r="B22" t="s">
        <v>10</v>
      </c>
      <c r="C22" s="3">
        <v>0.68347449382141401</v>
      </c>
      <c r="D22" s="3">
        <v>1.5116387044545101</v>
      </c>
      <c r="E22" s="3">
        <v>0.46713738370443808</v>
      </c>
      <c r="F22" s="3">
        <v>0.73482190679224701</v>
      </c>
      <c r="G22" s="3">
        <v>2.04098344540277</v>
      </c>
      <c r="H22" s="3">
        <v>0.53996323470179375</v>
      </c>
      <c r="I22" s="3">
        <v>0.73005140996595896</v>
      </c>
      <c r="J22" s="3">
        <v>2.6854665702488201</v>
      </c>
      <c r="K22" s="3">
        <v>0.53297506119328464</v>
      </c>
      <c r="L22" s="3">
        <v>2.1483478105796201</v>
      </c>
      <c r="M22" s="3">
        <v>6.2380887201061004</v>
      </c>
      <c r="N22" s="3">
        <v>1.5400756795995165</v>
      </c>
    </row>
    <row r="23" spans="1:14">
      <c r="A23" t="s">
        <v>16</v>
      </c>
      <c r="B23" t="s">
        <v>15</v>
      </c>
      <c r="C23" s="3">
        <v>0.88499968350369396</v>
      </c>
      <c r="D23" s="3">
        <v>2.1166970602074699E-2</v>
      </c>
      <c r="E23" s="3">
        <v>0.78322443980163847</v>
      </c>
      <c r="F23" s="3">
        <v>0.94318054563655296</v>
      </c>
      <c r="G23" s="3">
        <v>2.71441068247147E-2</v>
      </c>
      <c r="H23" s="3">
        <v>0.88958954166726578</v>
      </c>
      <c r="I23" s="3">
        <v>0.96443982182279597</v>
      </c>
      <c r="J23" s="3">
        <v>2.56636071394481E-2</v>
      </c>
      <c r="K23" s="3">
        <v>0.93014416991758642</v>
      </c>
      <c r="L23" s="3">
        <v>2.792620050963043</v>
      </c>
      <c r="M23" s="3">
        <v>7.39746845662375E-2</v>
      </c>
      <c r="N23" s="3">
        <v>2.6029581513864906</v>
      </c>
    </row>
    <row r="24" spans="1:14">
      <c r="A24" t="s">
        <v>18</v>
      </c>
      <c r="B24" t="s">
        <v>19</v>
      </c>
      <c r="C24" s="3">
        <v>5.21188587956362E-2</v>
      </c>
      <c r="D24" s="3">
        <v>4.6068306090595999E-2</v>
      </c>
      <c r="E24" s="3">
        <v>2.7163754421594649E-3</v>
      </c>
      <c r="F24" s="3">
        <v>0.101761933754814</v>
      </c>
      <c r="G24" s="3">
        <v>0.14308523075534399</v>
      </c>
      <c r="H24" s="3">
        <v>1.0355491161519154E-2</v>
      </c>
      <c r="I24" s="3">
        <v>-0.20611781359640299</v>
      </c>
      <c r="J24" s="3">
        <v>-9.9552741083514695E-2</v>
      </c>
      <c r="K24" s="3">
        <v>4.2484553081761529E-2</v>
      </c>
      <c r="L24" s="3">
        <v>-5.2237021045952792E-2</v>
      </c>
      <c r="M24" s="3">
        <v>8.96007957624253E-2</v>
      </c>
      <c r="N24" s="3">
        <v>5.5556419685440145E-2</v>
      </c>
    </row>
    <row r="25" spans="1:14">
      <c r="A25" t="s">
        <v>18</v>
      </c>
      <c r="B25" t="s">
        <v>17</v>
      </c>
      <c r="C25" s="3">
        <v>0.99999363679693098</v>
      </c>
      <c r="D25" s="3">
        <v>1.00092044535275</v>
      </c>
      <c r="E25" s="3">
        <v>0.99998727363435236</v>
      </c>
      <c r="F25" s="3">
        <v>0.99999912057921203</v>
      </c>
      <c r="G25" s="3">
        <v>1.0001774710068401</v>
      </c>
      <c r="H25" s="3">
        <v>0.99999824115919744</v>
      </c>
      <c r="I25" s="3">
        <v>0.93950681542118197</v>
      </c>
      <c r="J25" s="3">
        <v>1.0125636413579799</v>
      </c>
      <c r="K25" s="3">
        <v>0.88267305622285086</v>
      </c>
      <c r="L25" s="3">
        <v>2.9394995727973248</v>
      </c>
      <c r="M25" s="3">
        <v>3.0136615577175698</v>
      </c>
      <c r="N25" s="3">
        <v>2.8826585710164006</v>
      </c>
    </row>
    <row r="26" spans="1:14">
      <c r="A26" t="s">
        <v>23</v>
      </c>
      <c r="C26" s="3">
        <v>6.2307862300392403</v>
      </c>
      <c r="D26" s="3">
        <v>-38.199457199599237</v>
      </c>
      <c r="E26" s="3">
        <v>6.0404347731426329</v>
      </c>
      <c r="F26" s="3">
        <v>6.0895092894180429</v>
      </c>
      <c r="G26" s="3">
        <v>-120.97783043900009</v>
      </c>
      <c r="H26" s="3">
        <v>7.3488157252482802</v>
      </c>
      <c r="I26" s="3">
        <v>5.977976494224527</v>
      </c>
      <c r="J26" s="3">
        <v>-127.50347551117113</v>
      </c>
      <c r="K26" s="3">
        <v>5.9570560198930531</v>
      </c>
      <c r="L26" s="3">
        <v>18.29827201368181</v>
      </c>
      <c r="M26" s="3">
        <v>-286.68076314977054</v>
      </c>
      <c r="N26" s="3">
        <v>19.346306518283967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"/>
  <sheetViews>
    <sheetView topLeftCell="A10" zoomScale="192" workbookViewId="0">
      <selection activeCell="L25" sqref="L25"/>
    </sheetView>
  </sheetViews>
  <sheetFormatPr baseColWidth="10" defaultRowHeight="15"/>
  <cols>
    <col min="1" max="1" width="27.1640625" bestFit="1" customWidth="1"/>
    <col min="2" max="2" width="27.6640625" bestFit="1" customWidth="1"/>
    <col min="3" max="4" width="14" hidden="1" customWidth="1"/>
    <col min="5" max="5" width="13.1640625" hidden="1" customWidth="1"/>
    <col min="6" max="6" width="14" hidden="1" customWidth="1"/>
    <col min="7" max="7" width="14.33203125" hidden="1" customWidth="1"/>
    <col min="8" max="8" width="13.1640625" hidden="1" customWidth="1"/>
    <col min="9" max="9" width="14" hidden="1" customWidth="1"/>
    <col min="10" max="10" width="14.33203125" hidden="1" customWidth="1"/>
    <col min="11" max="11" width="13.1640625" hidden="1" customWidth="1"/>
    <col min="12" max="12" width="15.83203125" bestFit="1" customWidth="1"/>
    <col min="13" max="13" width="19.1640625" bestFit="1" customWidth="1"/>
    <col min="14" max="14" width="18.83203125" bestFit="1" customWidth="1"/>
  </cols>
  <sheetData>
    <row r="1" spans="1:14">
      <c r="C1" t="s">
        <v>0</v>
      </c>
      <c r="D1" t="s">
        <v>30</v>
      </c>
    </row>
    <row r="2" spans="1:14">
      <c r="C2" t="s">
        <v>8</v>
      </c>
      <c r="D2" t="s">
        <v>8</v>
      </c>
      <c r="E2" t="s">
        <v>8</v>
      </c>
      <c r="F2" t="s">
        <v>20</v>
      </c>
      <c r="G2" t="s">
        <v>20</v>
      </c>
      <c r="H2" t="s">
        <v>20</v>
      </c>
      <c r="I2" t="s">
        <v>21</v>
      </c>
      <c r="J2" t="s">
        <v>21</v>
      </c>
      <c r="K2" t="s">
        <v>21</v>
      </c>
    </row>
    <row r="3" spans="1:14">
      <c r="A3" t="s">
        <v>2</v>
      </c>
      <c r="B3" t="s">
        <v>1</v>
      </c>
      <c r="C3" t="s">
        <v>24</v>
      </c>
      <c r="D3" t="s">
        <v>27</v>
      </c>
      <c r="E3" t="s">
        <v>29</v>
      </c>
      <c r="F3" t="s">
        <v>24</v>
      </c>
      <c r="G3" t="s">
        <v>27</v>
      </c>
      <c r="H3" t="s">
        <v>29</v>
      </c>
      <c r="I3" t="s">
        <v>24</v>
      </c>
      <c r="J3" t="s">
        <v>27</v>
      </c>
      <c r="K3" t="s">
        <v>29</v>
      </c>
    </row>
    <row r="4" spans="1:14">
      <c r="A4" t="s">
        <v>14</v>
      </c>
      <c r="B4" t="s">
        <v>11</v>
      </c>
      <c r="C4" s="4">
        <v>-0.380429791731758</v>
      </c>
      <c r="D4" s="4">
        <v>-15.6953570580184</v>
      </c>
      <c r="E4" s="4">
        <v>0.14472682643706877</v>
      </c>
      <c r="F4" s="4">
        <v>-0.50957992833084498</v>
      </c>
      <c r="G4" s="4">
        <v>-29.088628575125199</v>
      </c>
      <c r="H4" s="4">
        <v>0.25967170335766909</v>
      </c>
      <c r="I4" s="4">
        <v>-0.277638448486483</v>
      </c>
      <c r="J4" s="4">
        <v>-25.641981904146299</v>
      </c>
      <c r="K4" s="4">
        <v>7.708310807798148E-2</v>
      </c>
      <c r="L4" t="str">
        <f>" &amp; " &amp; ROUND(D4, 3) &amp; " &amp; " &amp; ROUND(E4, 3)</f>
        <v xml:space="preserve"> &amp; -15.695 &amp; 0.145</v>
      </c>
      <c r="M4" t="str">
        <f>" &amp; " &amp; ROUND(G4, 3) &amp; " &amp; " &amp; ROUND(H4, 3)</f>
        <v xml:space="preserve"> &amp; -29.089 &amp; 0.26</v>
      </c>
      <c r="N4" t="str">
        <f>" &amp; " &amp; ROUND(J4, 3) &amp; " &amp; " &amp; ROUND(K4, 3)</f>
        <v xml:space="preserve"> &amp; -25.642 &amp; 0.077</v>
      </c>
    </row>
    <row r="5" spans="1:14">
      <c r="A5" t="s">
        <v>14</v>
      </c>
      <c r="B5" t="s">
        <v>9</v>
      </c>
      <c r="C5" s="4">
        <v>-0.20997194028300201</v>
      </c>
      <c r="D5" s="4">
        <v>-9.58545577335145</v>
      </c>
      <c r="E5" s="4">
        <v>4.4088215706208564E-2</v>
      </c>
      <c r="F5" s="4">
        <v>-0.389751178418204</v>
      </c>
      <c r="G5" s="4">
        <v>-23.2897036797258</v>
      </c>
      <c r="H5" s="4">
        <v>0.15190598107837869</v>
      </c>
      <c r="I5" s="4">
        <v>-0.25531357377200897</v>
      </c>
      <c r="J5" s="4">
        <v>-32.456651011852301</v>
      </c>
      <c r="K5" s="4">
        <v>6.5185020952235065E-2</v>
      </c>
      <c r="L5" t="str">
        <f t="shared" ref="L5:L26" si="0">" &amp; " &amp; ROUND(D5, 3) &amp; " &amp; " &amp; ROUND(E5, 3)</f>
        <v xml:space="preserve"> &amp; -9.585 &amp; 0.044</v>
      </c>
      <c r="M5" t="str">
        <f t="shared" ref="M5:M26" si="1">" &amp; " &amp; ROUND(G5, 3) &amp; " &amp; " &amp; ROUND(H5, 3)</f>
        <v xml:space="preserve"> &amp; -23.29 &amp; 0.152</v>
      </c>
      <c r="N5" t="str">
        <f t="shared" ref="N5:N26" si="2">" &amp; " &amp; ROUND(J5, 3) &amp; " &amp; " &amp; ROUND(K5, 3)</f>
        <v xml:space="preserve"> &amp; -32.457 &amp; 0.065</v>
      </c>
    </row>
    <row r="6" spans="1:14">
      <c r="A6" t="s">
        <v>14</v>
      </c>
      <c r="B6" t="s">
        <v>13</v>
      </c>
      <c r="C6" s="4">
        <v>0.63674807862557903</v>
      </c>
      <c r="D6" s="4">
        <v>0.76811814029329495</v>
      </c>
      <c r="E6" s="4">
        <v>0.40544811563336658</v>
      </c>
      <c r="F6" s="4">
        <v>0.67054947257564901</v>
      </c>
      <c r="G6" s="4">
        <v>0.73231478200198696</v>
      </c>
      <c r="H6" s="4">
        <v>0.44963659517148108</v>
      </c>
      <c r="I6" s="4">
        <v>0.45896031499275203</v>
      </c>
      <c r="J6" s="4">
        <v>0.31473673346279302</v>
      </c>
      <c r="K6" s="4">
        <v>0.21064457073824616</v>
      </c>
      <c r="L6" t="str">
        <f t="shared" si="0"/>
        <v xml:space="preserve"> &amp; 0.768 &amp; 0.405</v>
      </c>
      <c r="M6" t="str">
        <f t="shared" si="1"/>
        <v xml:space="preserve"> &amp; 0.732 &amp; 0.45</v>
      </c>
      <c r="N6" t="str">
        <f t="shared" si="2"/>
        <v xml:space="preserve"> &amp; 0.315 &amp; 0.211</v>
      </c>
    </row>
    <row r="7" spans="1:14">
      <c r="A7" t="s">
        <v>14</v>
      </c>
      <c r="B7" t="s">
        <v>12</v>
      </c>
      <c r="C7" s="4">
        <v>5.8083899707604199E-2</v>
      </c>
      <c r="D7" s="4">
        <v>4.01559444397123E-2</v>
      </c>
      <c r="E7" s="4">
        <v>3.3737394052430233E-3</v>
      </c>
      <c r="F7" s="4">
        <v>0.27535085165519901</v>
      </c>
      <c r="G7" s="4">
        <v>0.20458710655859999</v>
      </c>
      <c r="H7" s="4">
        <v>7.5818091507243418E-2</v>
      </c>
      <c r="I7" s="4">
        <v>0.17913548671227</v>
      </c>
      <c r="J7" s="4">
        <v>0.10953421853569301</v>
      </c>
      <c r="K7" s="4">
        <v>3.2089522599641866E-2</v>
      </c>
      <c r="L7" t="str">
        <f t="shared" si="0"/>
        <v xml:space="preserve"> &amp; 0.04 &amp; 0.003</v>
      </c>
      <c r="M7" t="str">
        <f t="shared" si="1"/>
        <v xml:space="preserve"> &amp; 0.205 &amp; 0.076</v>
      </c>
      <c r="N7" t="str">
        <f t="shared" si="2"/>
        <v xml:space="preserve"> &amp; 0.11 &amp; 0.032</v>
      </c>
    </row>
    <row r="8" spans="1:14">
      <c r="A8" t="s">
        <v>10</v>
      </c>
      <c r="B8" t="s">
        <v>14</v>
      </c>
      <c r="C8" s="4">
        <v>0.75450238783692603</v>
      </c>
      <c r="D8" s="4">
        <v>1.2538836573486299E-2</v>
      </c>
      <c r="E8" s="4">
        <v>0.56927385325162316</v>
      </c>
      <c r="F8" s="4">
        <v>0.81396575370755297</v>
      </c>
      <c r="G8" s="4">
        <v>1.21655632967923E-2</v>
      </c>
      <c r="H8" s="4">
        <v>0.66254024820870483</v>
      </c>
      <c r="I8" s="4">
        <v>0.78280518049185799</v>
      </c>
      <c r="J8" s="4">
        <v>8.8364552451576199E-3</v>
      </c>
      <c r="K8" s="4">
        <v>0.61278395060489033</v>
      </c>
      <c r="L8" t="str">
        <f t="shared" si="0"/>
        <v xml:space="preserve"> &amp; 0.013 &amp; 0.569</v>
      </c>
      <c r="M8" t="str">
        <f t="shared" si="1"/>
        <v xml:space="preserve"> &amp; 0.012 &amp; 0.663</v>
      </c>
      <c r="N8" t="str">
        <f t="shared" si="2"/>
        <v xml:space="preserve"> &amp; 0.009 &amp; 0.613</v>
      </c>
    </row>
    <row r="9" spans="1:14">
      <c r="A9" t="s">
        <v>10</v>
      </c>
      <c r="B9" t="s">
        <v>11</v>
      </c>
      <c r="C9" s="4">
        <v>0.26803507519912501</v>
      </c>
      <c r="D9" s="4">
        <v>0.18377436621940199</v>
      </c>
      <c r="E9" s="4">
        <v>7.1842801537000595E-2</v>
      </c>
      <c r="F9" s="4">
        <v>4.4794977392879701E-2</v>
      </c>
      <c r="G9" s="4">
        <v>3.8217858162441699E-2</v>
      </c>
      <c r="H9" s="4">
        <v>2.0065899996286034E-3</v>
      </c>
      <c r="I9" s="4">
        <v>0.344756100663831</v>
      </c>
      <c r="J9" s="4">
        <v>0.35942504160178801</v>
      </c>
      <c r="K9" s="4">
        <v>0.11885676894492958</v>
      </c>
      <c r="L9" t="str">
        <f t="shared" si="0"/>
        <v xml:space="preserve"> &amp; 0.184 &amp; 0.072</v>
      </c>
      <c r="M9" t="str">
        <f t="shared" si="1"/>
        <v xml:space="preserve"> &amp; 0.038 &amp; 0.002</v>
      </c>
      <c r="N9" t="str">
        <f t="shared" si="2"/>
        <v xml:space="preserve"> &amp; 0.359 &amp; 0.119</v>
      </c>
    </row>
    <row r="10" spans="1:14">
      <c r="A10" t="s">
        <v>10</v>
      </c>
      <c r="B10" t="s">
        <v>9</v>
      </c>
      <c r="C10" s="4">
        <v>0.27957214073853798</v>
      </c>
      <c r="D10" s="4">
        <v>0.21210066084906801</v>
      </c>
      <c r="E10" s="4">
        <v>7.816058187712889E-2</v>
      </c>
      <c r="F10" s="4">
        <v>6.5757989686815704E-2</v>
      </c>
      <c r="G10" s="4">
        <v>5.8728802209759297E-2</v>
      </c>
      <c r="H10" s="4">
        <v>4.3241132076513606E-3</v>
      </c>
      <c r="I10" s="4">
        <v>0.22597833671178699</v>
      </c>
      <c r="J10" s="4">
        <v>0.32428062390837098</v>
      </c>
      <c r="K10" s="4">
        <v>5.1066208663025775E-2</v>
      </c>
      <c r="L10" t="str">
        <f t="shared" si="0"/>
        <v xml:space="preserve"> &amp; 0.212 &amp; 0.078</v>
      </c>
      <c r="M10" t="str">
        <f t="shared" si="1"/>
        <v xml:space="preserve"> &amp; 0.059 &amp; 0.004</v>
      </c>
      <c r="N10" t="str">
        <f t="shared" si="2"/>
        <v xml:space="preserve"> &amp; 0.324 &amp; 0.051</v>
      </c>
    </row>
    <row r="11" spans="1:14">
      <c r="A11" t="s">
        <v>10</v>
      </c>
      <c r="B11" t="s">
        <v>13</v>
      </c>
      <c r="C11" s="4">
        <v>0.227929163891395</v>
      </c>
      <c r="D11" s="4">
        <v>4.5693760328593099E-3</v>
      </c>
      <c r="E11" s="4">
        <v>5.1951703752230405E-2</v>
      </c>
      <c r="F11" s="4">
        <v>0.335812980414183</v>
      </c>
      <c r="G11" s="4">
        <v>5.4813879938526103E-3</v>
      </c>
      <c r="H11" s="4">
        <v>0.11277035781465646</v>
      </c>
      <c r="I11" s="4">
        <v>-0.156116997740717</v>
      </c>
      <c r="J11" s="4">
        <v>-1.2085006271549299E-3</v>
      </c>
      <c r="K11" s="4">
        <v>2.4372516983575034E-2</v>
      </c>
      <c r="L11" t="str">
        <f t="shared" si="0"/>
        <v xml:space="preserve"> &amp; 0.005 &amp; 0.052</v>
      </c>
      <c r="M11" t="str">
        <f t="shared" si="1"/>
        <v xml:space="preserve"> &amp; 0.005 &amp; 0.113</v>
      </c>
      <c r="N11" t="str">
        <f t="shared" si="2"/>
        <v xml:space="preserve"> &amp; -0.001 &amp; 0.024</v>
      </c>
    </row>
    <row r="12" spans="1:14">
      <c r="A12" t="s">
        <v>10</v>
      </c>
      <c r="B12" t="s">
        <v>12</v>
      </c>
      <c r="C12" s="4">
        <v>-0.15109454625841301</v>
      </c>
      <c r="D12" s="4">
        <v>-1.7359591050037401E-3</v>
      </c>
      <c r="E12" s="4">
        <v>2.282956190903571E-2</v>
      </c>
      <c r="F12" s="4">
        <v>-2.6271166203389301E-2</v>
      </c>
      <c r="G12" s="4">
        <v>-2.9174087271690397E-4</v>
      </c>
      <c r="H12" s="4">
        <v>6.9017417368610423E-4</v>
      </c>
      <c r="I12" s="4">
        <v>-9.3667815876104898E-2</v>
      </c>
      <c r="J12" s="4">
        <v>-6.4652149836429205E-4</v>
      </c>
      <c r="K12" s="4">
        <v>8.7736597309998887E-3</v>
      </c>
      <c r="L12" t="str">
        <f t="shared" si="0"/>
        <v xml:space="preserve"> &amp; -0.002 &amp; 0.023</v>
      </c>
      <c r="M12" t="str">
        <f t="shared" si="1"/>
        <v xml:space="preserve"> &amp; 0 &amp; 0.001</v>
      </c>
      <c r="N12" t="str">
        <f t="shared" si="2"/>
        <v xml:space="preserve"> &amp; -0.001 &amp; 0.009</v>
      </c>
    </row>
    <row r="13" spans="1:14">
      <c r="A13" t="s">
        <v>10</v>
      </c>
      <c r="B13" t="s">
        <v>15</v>
      </c>
      <c r="C13" s="4">
        <v>0.84521207778102103</v>
      </c>
      <c r="D13" s="4">
        <v>9.1401978033303095E-3</v>
      </c>
      <c r="E13" s="4">
        <v>0.7143834564269107</v>
      </c>
      <c r="F13" s="4">
        <v>0.79450904361514096</v>
      </c>
      <c r="G13" s="4">
        <v>8.2323187856871097E-3</v>
      </c>
      <c r="H13" s="4">
        <v>0.63124462038624596</v>
      </c>
      <c r="I13" s="4">
        <v>0.78992251615156595</v>
      </c>
      <c r="J13" s="4">
        <v>5.7142699227271604E-3</v>
      </c>
      <c r="K13" s="4">
        <v>0.62397758152322091</v>
      </c>
      <c r="L13" t="str">
        <f t="shared" si="0"/>
        <v xml:space="preserve"> &amp; 0.009 &amp; 0.714</v>
      </c>
      <c r="M13" t="str">
        <f t="shared" si="1"/>
        <v xml:space="preserve"> &amp; 0.008 &amp; 0.631</v>
      </c>
      <c r="N13" t="str">
        <f t="shared" si="2"/>
        <v xml:space="preserve"> &amp; 0.006 &amp; 0.624</v>
      </c>
    </row>
    <row r="14" spans="1:14">
      <c r="A14" t="s">
        <v>15</v>
      </c>
      <c r="B14" t="s">
        <v>11</v>
      </c>
      <c r="C14" s="4">
        <v>-0.14370222468003299</v>
      </c>
      <c r="D14" s="4">
        <v>-9.1110178069940595</v>
      </c>
      <c r="E14" s="4">
        <v>2.0650329377990682E-2</v>
      </c>
      <c r="F14" s="4">
        <v>-0.47503632840399901</v>
      </c>
      <c r="G14" s="4">
        <v>-39.114745742862297</v>
      </c>
      <c r="H14" s="4">
        <v>0.225659513303552</v>
      </c>
      <c r="I14" s="4">
        <v>-0.22126576668631001</v>
      </c>
      <c r="J14" s="4">
        <v>-31.888518333575099</v>
      </c>
      <c r="K14" s="4">
        <v>4.8958539507280574E-2</v>
      </c>
      <c r="L14" t="str">
        <f t="shared" si="0"/>
        <v xml:space="preserve"> &amp; -9.111 &amp; 0.021</v>
      </c>
      <c r="M14" t="str">
        <f t="shared" si="1"/>
        <v xml:space="preserve"> &amp; -39.115 &amp; 0.226</v>
      </c>
      <c r="N14" t="str">
        <f t="shared" si="2"/>
        <v xml:space="preserve"> &amp; -31.889 &amp; 0.049</v>
      </c>
    </row>
    <row r="15" spans="1:14">
      <c r="A15" t="s">
        <v>15</v>
      </c>
      <c r="B15" t="s">
        <v>9</v>
      </c>
      <c r="C15" s="4">
        <v>-0.106844710300367</v>
      </c>
      <c r="D15" s="4">
        <v>-7.4956837590454599</v>
      </c>
      <c r="E15" s="4">
        <v>1.1415792119169351E-2</v>
      </c>
      <c r="F15" s="4">
        <v>-0.387145877397086</v>
      </c>
      <c r="G15" s="4">
        <v>-33.369824300806002</v>
      </c>
      <c r="H15" s="4">
        <v>0.14988193038555955</v>
      </c>
      <c r="I15" s="4">
        <v>-0.20927787454882099</v>
      </c>
      <c r="J15" s="4">
        <v>-41.514637512536197</v>
      </c>
      <c r="K15" s="4">
        <v>4.3797228775672055E-2</v>
      </c>
      <c r="L15" t="str">
        <f t="shared" si="0"/>
        <v xml:space="preserve"> &amp; -7.496 &amp; 0.011</v>
      </c>
      <c r="M15" t="str">
        <f t="shared" si="1"/>
        <v xml:space="preserve"> &amp; -33.37 &amp; 0.15</v>
      </c>
      <c r="N15" t="str">
        <f t="shared" si="2"/>
        <v xml:space="preserve"> &amp; -41.515 &amp; 0.044</v>
      </c>
    </row>
    <row r="16" spans="1:14">
      <c r="A16" t="s">
        <v>15</v>
      </c>
      <c r="B16" t="s">
        <v>13</v>
      </c>
      <c r="C16" s="4">
        <v>0.28507695756997298</v>
      </c>
      <c r="D16" s="4">
        <v>0.528480804136928</v>
      </c>
      <c r="E16" s="4">
        <v>8.1268871737352172E-2</v>
      </c>
      <c r="F16" s="4">
        <v>0.47429351024641497</v>
      </c>
      <c r="G16" s="4">
        <v>0.74716567602334305</v>
      </c>
      <c r="H16" s="4">
        <v>0.22495433386186614</v>
      </c>
      <c r="I16" s="4">
        <v>0.43082910400895202</v>
      </c>
      <c r="J16" s="4">
        <v>0.461026049448783</v>
      </c>
      <c r="K16" s="4">
        <v>0.18561371686115641</v>
      </c>
      <c r="L16" t="str">
        <f t="shared" si="0"/>
        <v xml:space="preserve"> &amp; 0.528 &amp; 0.081</v>
      </c>
      <c r="M16" t="str">
        <f t="shared" si="1"/>
        <v xml:space="preserve"> &amp; 0.747 &amp; 0.225</v>
      </c>
      <c r="N16" t="str">
        <f t="shared" si="2"/>
        <v xml:space="preserve"> &amp; 0.461 &amp; 0.186</v>
      </c>
    </row>
    <row r="17" spans="1:14">
      <c r="A17" t="s">
        <v>15</v>
      </c>
      <c r="B17" t="s">
        <v>12</v>
      </c>
      <c r="C17" s="4">
        <v>4.4115408837759197E-2</v>
      </c>
      <c r="D17" s="4">
        <v>4.68695851505928E-2</v>
      </c>
      <c r="E17" s="4">
        <v>1.9461692969226423E-3</v>
      </c>
      <c r="F17" s="4">
        <v>0.24745730659140899</v>
      </c>
      <c r="G17" s="4">
        <v>0.26521303949611702</v>
      </c>
      <c r="H17" s="4">
        <v>6.1235118585474591E-2</v>
      </c>
      <c r="I17" s="4">
        <v>0.14107630891064299</v>
      </c>
      <c r="J17" s="4">
        <v>0.134607856215988</v>
      </c>
      <c r="K17" s="4">
        <v>1.9902524935851165E-2</v>
      </c>
      <c r="L17" t="str">
        <f t="shared" si="0"/>
        <v xml:space="preserve"> &amp; 0.047 &amp; 0.002</v>
      </c>
      <c r="M17" t="str">
        <f t="shared" si="1"/>
        <v xml:space="preserve"> &amp; 0.265 &amp; 0.061</v>
      </c>
      <c r="N17" t="str">
        <f t="shared" si="2"/>
        <v xml:space="preserve"> &amp; 0.135 &amp; 0.02</v>
      </c>
    </row>
    <row r="18" spans="1:14">
      <c r="A18" t="s">
        <v>16</v>
      </c>
      <c r="B18" t="s">
        <v>14</v>
      </c>
      <c r="C18" s="4">
        <v>0.97128601443274198</v>
      </c>
      <c r="D18" s="4">
        <v>3.5700101424808103E-2</v>
      </c>
      <c r="E18" s="4">
        <v>0.94339652183264067</v>
      </c>
      <c r="F18" s="4">
        <v>0.97452513785460304</v>
      </c>
      <c r="G18" s="4">
        <v>4.0455402163223499E-2</v>
      </c>
      <c r="H18" s="4">
        <v>0.9496992443105331</v>
      </c>
      <c r="I18" s="4">
        <v>0.98586680484942402</v>
      </c>
      <c r="J18" s="4">
        <v>4.0936333418265802E-2</v>
      </c>
      <c r="K18" s="4">
        <v>0.97193335690401228</v>
      </c>
      <c r="L18" t="str">
        <f t="shared" si="0"/>
        <v xml:space="preserve"> &amp; 0.036 &amp; 0.943</v>
      </c>
      <c r="M18" t="str">
        <f t="shared" si="1"/>
        <v xml:space="preserve"> &amp; 0.04 &amp; 0.95</v>
      </c>
      <c r="N18" t="str">
        <f t="shared" si="2"/>
        <v xml:space="preserve"> &amp; 0.041 &amp; 0.972</v>
      </c>
    </row>
    <row r="19" spans="1:14">
      <c r="A19" t="s">
        <v>16</v>
      </c>
      <c r="B19" t="s">
        <v>11</v>
      </c>
      <c r="C19" s="4">
        <v>-0.50203790908260204</v>
      </c>
      <c r="D19" s="4">
        <v>-0.76129943458405902</v>
      </c>
      <c r="E19" s="4">
        <v>0.25204206215603098</v>
      </c>
      <c r="F19" s="4">
        <v>-0.62432092909411097</v>
      </c>
      <c r="G19" s="4">
        <v>-1.47945685177357</v>
      </c>
      <c r="H19" s="4">
        <v>0.38977662250493395</v>
      </c>
      <c r="I19" s="4">
        <v>-0.36629071624666798</v>
      </c>
      <c r="J19" s="4">
        <v>-1.4047161953554299</v>
      </c>
      <c r="K19" s="4">
        <v>0.13416888880849703</v>
      </c>
      <c r="L19" t="str">
        <f t="shared" si="0"/>
        <v xml:space="preserve"> &amp; -0.761 &amp; 0.252</v>
      </c>
      <c r="M19" t="str">
        <f t="shared" si="1"/>
        <v xml:space="preserve"> &amp; -1.479 &amp; 0.39</v>
      </c>
      <c r="N19" t="str">
        <f t="shared" si="2"/>
        <v xml:space="preserve"> &amp; -1.405 &amp; 0.134</v>
      </c>
    </row>
    <row r="20" spans="1:14">
      <c r="A20" t="s">
        <v>16</v>
      </c>
      <c r="B20" t="s">
        <v>13</v>
      </c>
      <c r="C20" s="4">
        <v>0.59202474827338203</v>
      </c>
      <c r="D20" s="4">
        <v>2.6249591848469801E-2</v>
      </c>
      <c r="E20" s="4">
        <v>0.35049330256816136</v>
      </c>
      <c r="F20" s="4">
        <v>0.63881218617197799</v>
      </c>
      <c r="G20" s="4">
        <v>2.8961672900647498E-2</v>
      </c>
      <c r="H20" s="4">
        <v>0.40808100920182189</v>
      </c>
      <c r="I20" s="4">
        <v>0.51190658452898496</v>
      </c>
      <c r="J20" s="4">
        <v>1.4576515255885601E-2</v>
      </c>
      <c r="K20" s="4">
        <v>0.26204835128413084</v>
      </c>
      <c r="L20" t="str">
        <f t="shared" si="0"/>
        <v xml:space="preserve"> &amp; 0.026 &amp; 0.35</v>
      </c>
      <c r="M20" t="str">
        <f t="shared" si="1"/>
        <v xml:space="preserve"> &amp; 0.029 &amp; 0.408</v>
      </c>
      <c r="N20" t="str">
        <f t="shared" si="2"/>
        <v xml:space="preserve"> &amp; 0.015 &amp; 0.262</v>
      </c>
    </row>
    <row r="21" spans="1:14">
      <c r="A21" t="s">
        <v>16</v>
      </c>
      <c r="B21" t="s">
        <v>12</v>
      </c>
      <c r="C21" s="4">
        <v>0.141694726563696</v>
      </c>
      <c r="D21" s="4">
        <v>3.60056022731869E-3</v>
      </c>
      <c r="E21" s="4">
        <v>2.0077395535960576E-2</v>
      </c>
      <c r="F21" s="4">
        <v>0.38602198059102599</v>
      </c>
      <c r="G21" s="4">
        <v>1.1906588583388E-2</v>
      </c>
      <c r="H21" s="4">
        <v>0.14901296949941845</v>
      </c>
      <c r="I21" s="4">
        <v>0.27843071594603802</v>
      </c>
      <c r="J21" s="4">
        <v>7.0692937415395302E-3</v>
      </c>
      <c r="K21" s="4">
        <v>7.7523663582223318E-2</v>
      </c>
      <c r="L21" t="str">
        <f t="shared" si="0"/>
        <v xml:space="preserve"> &amp; 0.004 &amp; 0.02</v>
      </c>
      <c r="M21" t="str">
        <f t="shared" si="1"/>
        <v xml:space="preserve"> &amp; 0.012 &amp; 0.149</v>
      </c>
      <c r="N21" t="str">
        <f t="shared" si="2"/>
        <v xml:space="preserve"> &amp; 0.007 &amp; 0.078</v>
      </c>
    </row>
    <row r="22" spans="1:14">
      <c r="A22" t="s">
        <v>16</v>
      </c>
      <c r="B22" t="s">
        <v>10</v>
      </c>
      <c r="C22" s="4">
        <v>0.68347449382141401</v>
      </c>
      <c r="D22" s="4">
        <v>1.5116387044545101</v>
      </c>
      <c r="E22" s="4">
        <v>0.46713738370443808</v>
      </c>
      <c r="F22" s="4">
        <v>0.73482190679224701</v>
      </c>
      <c r="G22" s="4">
        <v>2.04098344540277</v>
      </c>
      <c r="H22" s="4">
        <v>0.53996323470179375</v>
      </c>
      <c r="I22" s="4">
        <v>0.73005140996595896</v>
      </c>
      <c r="J22" s="4">
        <v>2.6854665702488201</v>
      </c>
      <c r="K22" s="4">
        <v>0.53297506119328464</v>
      </c>
      <c r="L22" t="str">
        <f t="shared" si="0"/>
        <v xml:space="preserve"> &amp; 1.512 &amp; 0.467</v>
      </c>
      <c r="M22" t="str">
        <f t="shared" si="1"/>
        <v xml:space="preserve"> &amp; 2.041 &amp; 0.54</v>
      </c>
      <c r="N22" t="str">
        <f t="shared" si="2"/>
        <v xml:space="preserve"> &amp; 2.685 &amp; 0.533</v>
      </c>
    </row>
    <row r="23" spans="1:14">
      <c r="A23" t="s">
        <v>16</v>
      </c>
      <c r="B23" t="s">
        <v>15</v>
      </c>
      <c r="C23" s="4">
        <v>0.88499968350369396</v>
      </c>
      <c r="D23" s="4">
        <v>2.1166970602074699E-2</v>
      </c>
      <c r="E23" s="4">
        <v>0.78322443980163847</v>
      </c>
      <c r="F23" s="4">
        <v>0.94318054563655296</v>
      </c>
      <c r="G23" s="4">
        <v>2.71441068247147E-2</v>
      </c>
      <c r="H23" s="4">
        <v>0.88958954166726578</v>
      </c>
      <c r="I23" s="4">
        <v>0.96443982182279597</v>
      </c>
      <c r="J23" s="4">
        <v>2.56636071394481E-2</v>
      </c>
      <c r="K23" s="4">
        <v>0.93014416991758642</v>
      </c>
      <c r="L23" t="str">
        <f t="shared" si="0"/>
        <v xml:space="preserve"> &amp; 0.021 &amp; 0.783</v>
      </c>
      <c r="M23" t="str">
        <f t="shared" si="1"/>
        <v xml:space="preserve"> &amp; 0.027 &amp; 0.89</v>
      </c>
      <c r="N23" t="str">
        <f t="shared" si="2"/>
        <v xml:space="preserve"> &amp; 0.026 &amp; 0.93</v>
      </c>
    </row>
    <row r="24" spans="1:14">
      <c r="A24" t="s">
        <v>18</v>
      </c>
      <c r="B24" t="s">
        <v>19</v>
      </c>
      <c r="C24" s="4">
        <v>5.21188587956362E-2</v>
      </c>
      <c r="D24" s="4">
        <v>4.6068306090595999E-2</v>
      </c>
      <c r="E24" s="4">
        <v>2.7163754421594649E-3</v>
      </c>
      <c r="F24" s="4">
        <v>0.101761933754814</v>
      </c>
      <c r="G24" s="4">
        <v>0.14308523075534399</v>
      </c>
      <c r="H24" s="4">
        <v>1.0355491161519154E-2</v>
      </c>
      <c r="I24" s="4">
        <v>-0.20611781359640299</v>
      </c>
      <c r="J24" s="4">
        <v>-9.9552741083514695E-2</v>
      </c>
      <c r="K24" s="4">
        <v>4.2484553081761529E-2</v>
      </c>
      <c r="L24" t="str">
        <f t="shared" si="0"/>
        <v xml:space="preserve"> &amp; 0.046 &amp; 0.003</v>
      </c>
      <c r="M24" t="str">
        <f t="shared" si="1"/>
        <v xml:space="preserve"> &amp; 0.143 &amp; 0.01</v>
      </c>
      <c r="N24" t="str">
        <f t="shared" si="2"/>
        <v xml:space="preserve"> &amp; -0.1 &amp; 0.042</v>
      </c>
    </row>
    <row r="25" spans="1:14">
      <c r="A25" t="s">
        <v>18</v>
      </c>
      <c r="B25" t="s">
        <v>17</v>
      </c>
      <c r="C25" s="4">
        <v>0.99999363679693098</v>
      </c>
      <c r="D25" s="4">
        <v>1.00092044535275</v>
      </c>
      <c r="E25" s="4">
        <v>0.99998727363435236</v>
      </c>
      <c r="F25" s="4">
        <v>0.99999912057921203</v>
      </c>
      <c r="G25" s="4">
        <v>1.0001774710068401</v>
      </c>
      <c r="H25" s="4">
        <v>0.99999824115919744</v>
      </c>
      <c r="I25" s="4">
        <v>0.93950681542118197</v>
      </c>
      <c r="J25" s="4">
        <v>1.0125636413579799</v>
      </c>
      <c r="K25" s="4">
        <v>0.88267305622285086</v>
      </c>
      <c r="L25" t="str">
        <f t="shared" si="0"/>
        <v xml:space="preserve"> &amp; 1.001 &amp; 1</v>
      </c>
      <c r="M25" t="str">
        <f t="shared" si="1"/>
        <v xml:space="preserve"> &amp; 1 &amp; 1</v>
      </c>
      <c r="N25" t="str">
        <f t="shared" si="2"/>
        <v xml:space="preserve"> &amp; 1.013 &amp; 0.883</v>
      </c>
    </row>
    <row r="26" spans="1:14">
      <c r="A26" t="s">
        <v>23</v>
      </c>
      <c r="C26" s="4">
        <v>6.2307862300392403</v>
      </c>
      <c r="D26" s="4">
        <v>-38.199457199599237</v>
      </c>
      <c r="E26" s="4">
        <v>6.0404347731426329</v>
      </c>
      <c r="F26" s="4">
        <v>6.0895092894180429</v>
      </c>
      <c r="G26" s="4">
        <v>-120.97783043900009</v>
      </c>
      <c r="H26" s="4">
        <v>7.3488157252482802</v>
      </c>
      <c r="I26" s="4">
        <v>5.977976494224527</v>
      </c>
      <c r="J26" s="4">
        <v>-127.50347551117113</v>
      </c>
      <c r="K26" s="4">
        <v>5.9570560198930531</v>
      </c>
      <c r="L26" t="str">
        <f t="shared" si="0"/>
        <v xml:space="preserve"> &amp; -38.199 &amp; 6.04</v>
      </c>
      <c r="M26" t="str">
        <f t="shared" si="1"/>
        <v xml:space="preserve"> &amp; -120.978 &amp; 7.349</v>
      </c>
      <c r="N26" t="str">
        <f t="shared" si="2"/>
        <v xml:space="preserve"> &amp; -127.503 &amp; 5.957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7"/>
  <sheetViews>
    <sheetView tabSelected="1" topLeftCell="A58" zoomScale="150" workbookViewId="0">
      <selection activeCell="F70" sqref="F70"/>
    </sheetView>
  </sheetViews>
  <sheetFormatPr baseColWidth="10" defaultRowHeight="15"/>
  <cols>
    <col min="1" max="1" width="5.83203125" bestFit="1" customWidth="1"/>
    <col min="2" max="2" width="27.6640625" bestFit="1" customWidth="1"/>
    <col min="3" max="3" width="27.1640625" bestFit="1" customWidth="1"/>
    <col min="4" max="6" width="13.83203125" bestFit="1" customWidth="1"/>
    <col min="7" max="7" width="13" style="5" bestFit="1" customWidth="1"/>
    <col min="8" max="8" width="13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5" t="s">
        <v>6</v>
      </c>
      <c r="H1" t="s">
        <v>7</v>
      </c>
      <c r="I1" t="s">
        <v>22</v>
      </c>
    </row>
    <row r="2" spans="1:9">
      <c r="A2" t="s">
        <v>8</v>
      </c>
      <c r="B2" t="s">
        <v>9</v>
      </c>
      <c r="C2" t="s">
        <v>10</v>
      </c>
      <c r="D2">
        <v>0.21210066084906801</v>
      </c>
      <c r="E2">
        <v>0.20752164786912</v>
      </c>
      <c r="F2">
        <v>0.27957214073853798</v>
      </c>
      <c r="G2" s="5">
        <v>1.9853725697079401E-3</v>
      </c>
      <c r="H2">
        <v>6.7055555315595802E-2</v>
      </c>
      <c r="I2">
        <f>F2^2</f>
        <v>7.816058187712889E-2</v>
      </c>
    </row>
    <row r="3" spans="1:9">
      <c r="A3" t="s">
        <v>8</v>
      </c>
      <c r="B3" t="s">
        <v>11</v>
      </c>
      <c r="C3" t="s">
        <v>10</v>
      </c>
      <c r="D3">
        <v>0.18377436621940199</v>
      </c>
      <c r="E3">
        <v>0.20412954669973801</v>
      </c>
      <c r="F3">
        <v>0.26803507519912501</v>
      </c>
      <c r="G3" s="5">
        <v>3.0783724713604101E-3</v>
      </c>
      <c r="H3">
        <v>6.0808328952953503E-2</v>
      </c>
      <c r="I3">
        <f t="shared" ref="I3:I66" si="0">F3^2</f>
        <v>7.1842801537000595E-2</v>
      </c>
    </row>
    <row r="4" spans="1:9">
      <c r="A4" t="s">
        <v>8</v>
      </c>
      <c r="B4" t="s">
        <v>12</v>
      </c>
      <c r="C4" t="s">
        <v>10</v>
      </c>
      <c r="D4">
        <v>-1.7359591050037401E-3</v>
      </c>
      <c r="E4">
        <v>0.35638451054675901</v>
      </c>
      <c r="F4">
        <v>-0.15109454625841301</v>
      </c>
      <c r="G4" s="5">
        <v>9.9495336352922195E-2</v>
      </c>
      <c r="H4">
        <v>1.0455260488630999E-3</v>
      </c>
      <c r="I4">
        <f t="shared" si="0"/>
        <v>2.282956190903571E-2</v>
      </c>
    </row>
    <row r="5" spans="1:9">
      <c r="A5" t="s">
        <v>8</v>
      </c>
      <c r="B5" t="s">
        <v>13</v>
      </c>
      <c r="C5" t="s">
        <v>10</v>
      </c>
      <c r="D5">
        <v>4.5693760328593099E-3</v>
      </c>
      <c r="E5">
        <v>0.17906398323271</v>
      </c>
      <c r="F5">
        <v>0.227929163891395</v>
      </c>
      <c r="G5" s="5">
        <v>1.2288367850591101E-2</v>
      </c>
      <c r="H5">
        <v>1.79693028988162E-3</v>
      </c>
      <c r="I5">
        <f t="shared" si="0"/>
        <v>5.1951703752230405E-2</v>
      </c>
    </row>
    <row r="6" spans="1:9">
      <c r="A6" t="s">
        <v>8</v>
      </c>
      <c r="B6" t="s">
        <v>14</v>
      </c>
      <c r="C6" t="s">
        <v>10</v>
      </c>
      <c r="D6">
        <v>1.2538836573486299E-2</v>
      </c>
      <c r="E6">
        <v>-3.4408034034843701E-2</v>
      </c>
      <c r="F6">
        <v>0.75450238783692603</v>
      </c>
      <c r="G6" s="6">
        <v>2.5269348125244099E-23</v>
      </c>
      <c r="H6">
        <v>1.00405207436274E-3</v>
      </c>
      <c r="I6">
        <f t="shared" si="0"/>
        <v>0.56927385325162316</v>
      </c>
    </row>
    <row r="7" spans="1:9">
      <c r="A7" t="s">
        <v>8</v>
      </c>
      <c r="B7" t="s">
        <v>15</v>
      </c>
      <c r="C7" t="s">
        <v>10</v>
      </c>
      <c r="D7">
        <v>9.1401978033303095E-3</v>
      </c>
      <c r="E7">
        <v>-0.13614679181558201</v>
      </c>
      <c r="F7">
        <v>0.84521207778102103</v>
      </c>
      <c r="G7" s="6">
        <v>6.7281571601801604E-34</v>
      </c>
      <c r="H7">
        <v>5.3203545652110405E-4</v>
      </c>
      <c r="I7">
        <f t="shared" si="0"/>
        <v>0.7143834564269107</v>
      </c>
    </row>
    <row r="8" spans="1:9">
      <c r="A8" t="s">
        <v>8</v>
      </c>
      <c r="B8" t="s">
        <v>12</v>
      </c>
      <c r="C8" t="s">
        <v>14</v>
      </c>
      <c r="D8">
        <v>4.01559444397123E-2</v>
      </c>
      <c r="E8">
        <v>25.248754191227</v>
      </c>
      <c r="F8">
        <v>5.8083899707604199E-2</v>
      </c>
      <c r="G8" s="5">
        <v>0.52859663807810897</v>
      </c>
      <c r="H8">
        <v>6.3535907487893201E-2</v>
      </c>
      <c r="I8">
        <f t="shared" si="0"/>
        <v>3.3737394052430233E-3</v>
      </c>
    </row>
    <row r="9" spans="1:9">
      <c r="A9" t="s">
        <v>8</v>
      </c>
      <c r="B9" t="s">
        <v>13</v>
      </c>
      <c r="C9" t="s">
        <v>14</v>
      </c>
      <c r="D9">
        <v>0.76811814029329495</v>
      </c>
      <c r="E9">
        <v>6.44053339023072</v>
      </c>
      <c r="F9">
        <v>0.63674807862557903</v>
      </c>
      <c r="G9" s="6">
        <v>5.4094167122606703E-15</v>
      </c>
      <c r="H9">
        <v>8.5627695282362096E-2</v>
      </c>
      <c r="I9">
        <f t="shared" si="0"/>
        <v>0.40544811563336658</v>
      </c>
    </row>
    <row r="10" spans="1:9">
      <c r="A10" t="s">
        <v>8</v>
      </c>
      <c r="B10" t="s">
        <v>9</v>
      </c>
      <c r="C10" t="s">
        <v>14</v>
      </c>
      <c r="D10">
        <v>-9.58545577335145</v>
      </c>
      <c r="E10">
        <v>30.707368038869099</v>
      </c>
      <c r="F10">
        <v>-0.20997194028300201</v>
      </c>
      <c r="G10" s="5">
        <v>2.1347889481890699E-2</v>
      </c>
      <c r="H10">
        <v>4.1088417071037302</v>
      </c>
      <c r="I10">
        <f t="shared" si="0"/>
        <v>4.4088215706208564E-2</v>
      </c>
    </row>
    <row r="11" spans="1:9">
      <c r="A11" t="s">
        <v>8</v>
      </c>
      <c r="B11" t="s">
        <v>11</v>
      </c>
      <c r="C11" t="s">
        <v>14</v>
      </c>
      <c r="D11">
        <v>-15.6953570580184</v>
      </c>
      <c r="E11">
        <v>34.6702380276393</v>
      </c>
      <c r="F11">
        <v>-0.380429791731758</v>
      </c>
      <c r="G11" s="6">
        <v>1.81854490896952E-5</v>
      </c>
      <c r="H11">
        <v>3.5124334301250202</v>
      </c>
      <c r="I11">
        <f t="shared" si="0"/>
        <v>0.14472682643706877</v>
      </c>
    </row>
    <row r="12" spans="1:9">
      <c r="A12" t="s">
        <v>8</v>
      </c>
      <c r="B12" t="s">
        <v>12</v>
      </c>
      <c r="C12" t="s">
        <v>15</v>
      </c>
      <c r="D12">
        <v>4.68695851505928E-2</v>
      </c>
      <c r="E12">
        <v>46.0403063113339</v>
      </c>
      <c r="F12">
        <v>4.4115408837759197E-2</v>
      </c>
      <c r="G12" s="5">
        <v>0.63234071465582997</v>
      </c>
      <c r="H12">
        <v>9.77094976424039E-2</v>
      </c>
      <c r="I12">
        <f t="shared" si="0"/>
        <v>1.9461692969226423E-3</v>
      </c>
    </row>
    <row r="13" spans="1:9">
      <c r="A13" t="s">
        <v>8</v>
      </c>
      <c r="B13" t="s">
        <v>13</v>
      </c>
      <c r="C13" t="s">
        <v>15</v>
      </c>
      <c r="D13">
        <v>0.528480804136928</v>
      </c>
      <c r="E13">
        <v>33.7374177131165</v>
      </c>
      <c r="F13">
        <v>0.28507695756997298</v>
      </c>
      <c r="G13" s="5">
        <v>1.59986971728016E-3</v>
      </c>
      <c r="H13">
        <v>0.16357627494001001</v>
      </c>
      <c r="I13">
        <f t="shared" si="0"/>
        <v>8.1268871737352172E-2</v>
      </c>
    </row>
    <row r="14" spans="1:9">
      <c r="A14" t="s">
        <v>8</v>
      </c>
      <c r="B14" t="s">
        <v>9</v>
      </c>
      <c r="C14" t="s">
        <v>15</v>
      </c>
      <c r="D14">
        <v>-7.4956837590454599</v>
      </c>
      <c r="E14">
        <v>50.821385655797002</v>
      </c>
      <c r="F14">
        <v>-0.106844710300367</v>
      </c>
      <c r="G14" s="5">
        <v>0.24543755232176501</v>
      </c>
      <c r="H14">
        <v>6.42131626192936</v>
      </c>
      <c r="I14">
        <f t="shared" si="0"/>
        <v>1.1415792119169351E-2</v>
      </c>
    </row>
    <row r="15" spans="1:9">
      <c r="A15" t="s">
        <v>8</v>
      </c>
      <c r="B15" t="s">
        <v>11</v>
      </c>
      <c r="C15" t="s">
        <v>15</v>
      </c>
      <c r="D15">
        <v>-9.1110178069940595</v>
      </c>
      <c r="E15">
        <v>52.290013070256798</v>
      </c>
      <c r="F15">
        <v>-0.14370222468003299</v>
      </c>
      <c r="G15" s="5">
        <v>0.11738588549373299</v>
      </c>
      <c r="H15">
        <v>5.7760546149451999</v>
      </c>
      <c r="I15">
        <f t="shared" si="0"/>
        <v>2.0650329377990682E-2</v>
      </c>
    </row>
    <row r="16" spans="1:9">
      <c r="A16" t="s">
        <v>8</v>
      </c>
      <c r="B16" t="s">
        <v>12</v>
      </c>
      <c r="C16" t="s">
        <v>16</v>
      </c>
      <c r="D16">
        <v>3.60056022731869E-3</v>
      </c>
      <c r="E16">
        <v>0.47561548469954301</v>
      </c>
      <c r="F16">
        <v>0.141694726563696</v>
      </c>
      <c r="G16" s="5">
        <v>0.122651051690628</v>
      </c>
      <c r="H16">
        <v>2.31564124662198E-3</v>
      </c>
      <c r="I16">
        <f t="shared" si="0"/>
        <v>2.0077395535960576E-2</v>
      </c>
    </row>
    <row r="17" spans="1:9">
      <c r="A17" t="s">
        <v>8</v>
      </c>
      <c r="B17" t="s">
        <v>13</v>
      </c>
      <c r="C17" t="s">
        <v>16</v>
      </c>
      <c r="D17">
        <v>2.6249591848469801E-2</v>
      </c>
      <c r="E17">
        <v>-9.3303079246564599E-2</v>
      </c>
      <c r="F17">
        <v>0.59202474827338203</v>
      </c>
      <c r="G17" s="6">
        <v>1.0683258057447699E-12</v>
      </c>
      <c r="H17">
        <v>3.2895273863222298E-3</v>
      </c>
      <c r="I17">
        <f t="shared" si="0"/>
        <v>0.35049330256816136</v>
      </c>
    </row>
    <row r="18" spans="1:9">
      <c r="A18" t="s">
        <v>8</v>
      </c>
      <c r="B18" t="s">
        <v>10</v>
      </c>
      <c r="C18" t="s">
        <v>16</v>
      </c>
      <c r="D18">
        <v>1.5116387044545101</v>
      </c>
      <c r="E18">
        <v>0.14314021325412701</v>
      </c>
      <c r="F18">
        <v>0.68347449382141401</v>
      </c>
      <c r="G18" s="6">
        <v>7.8817076233780201E-18</v>
      </c>
      <c r="H18">
        <v>0.148625152726753</v>
      </c>
      <c r="I18">
        <f t="shared" si="0"/>
        <v>0.46713738370443808</v>
      </c>
    </row>
    <row r="19" spans="1:9">
      <c r="A19" t="s">
        <v>8</v>
      </c>
      <c r="B19" t="s">
        <v>11</v>
      </c>
      <c r="C19" t="s">
        <v>16</v>
      </c>
      <c r="D19">
        <v>-0.76129943458405902</v>
      </c>
      <c r="E19">
        <v>0.98736632462360396</v>
      </c>
      <c r="F19">
        <v>-0.50203790908260204</v>
      </c>
      <c r="G19" s="6">
        <v>5.1634591430511597E-9</v>
      </c>
      <c r="H19">
        <v>0.12073038324215001</v>
      </c>
      <c r="I19">
        <f t="shared" si="0"/>
        <v>0.25204206215603098</v>
      </c>
    </row>
    <row r="20" spans="1:9">
      <c r="A20" t="s">
        <v>8</v>
      </c>
      <c r="B20" t="s">
        <v>14</v>
      </c>
      <c r="C20" t="s">
        <v>16</v>
      </c>
      <c r="D20">
        <v>3.5700101424808103E-2</v>
      </c>
      <c r="E20">
        <v>-0.35396657797604197</v>
      </c>
      <c r="F20">
        <v>0.97128601443274198</v>
      </c>
      <c r="G20" s="6">
        <v>1.9735990600084299E-75</v>
      </c>
      <c r="H20">
        <v>8.0501295630843199E-4</v>
      </c>
      <c r="I20">
        <f t="shared" si="0"/>
        <v>0.94339652183264067</v>
      </c>
    </row>
    <row r="21" spans="1:9">
      <c r="A21" t="s">
        <v>8</v>
      </c>
      <c r="B21" t="s">
        <v>15</v>
      </c>
      <c r="C21" t="s">
        <v>16</v>
      </c>
      <c r="D21">
        <v>2.1166970602074699E-2</v>
      </c>
      <c r="E21">
        <v>-0.41248916429272398</v>
      </c>
      <c r="F21">
        <v>0.88499968350369396</v>
      </c>
      <c r="G21" s="6">
        <v>5.51757796941672E-41</v>
      </c>
      <c r="H21">
        <v>1.0251318955560101E-3</v>
      </c>
      <c r="I21">
        <f t="shared" si="0"/>
        <v>0.78322443980163847</v>
      </c>
    </row>
    <row r="22" spans="1:9">
      <c r="A22" t="s">
        <v>8</v>
      </c>
      <c r="B22" t="s">
        <v>17</v>
      </c>
      <c r="C22" t="s">
        <v>18</v>
      </c>
      <c r="D22">
        <v>1.00092044535275</v>
      </c>
      <c r="E22" s="1">
        <v>-6.0149930104211297E-5</v>
      </c>
      <c r="F22">
        <v>0.99999363679693098</v>
      </c>
      <c r="G22" s="6">
        <v>1.1031665707903799E-290</v>
      </c>
      <c r="H22">
        <v>3.28710455993179E-4</v>
      </c>
      <c r="I22">
        <f t="shared" si="0"/>
        <v>0.99998727363435236</v>
      </c>
    </row>
    <row r="23" spans="1:9">
      <c r="A23" t="s">
        <v>8</v>
      </c>
      <c r="B23" t="s">
        <v>19</v>
      </c>
      <c r="C23" t="s">
        <v>18</v>
      </c>
      <c r="D23">
        <v>4.6068306090595999E-2</v>
      </c>
      <c r="E23">
        <v>9.7813337887622795E-2</v>
      </c>
      <c r="F23">
        <v>5.21188587956362E-2</v>
      </c>
      <c r="G23" s="5">
        <v>0.57184115186828099</v>
      </c>
      <c r="H23">
        <v>8.1259788256673404E-2</v>
      </c>
      <c r="I23">
        <f t="shared" si="0"/>
        <v>2.7163754421594649E-3</v>
      </c>
    </row>
    <row r="24" spans="1:9">
      <c r="A24" t="s">
        <v>20</v>
      </c>
      <c r="B24" t="s">
        <v>9</v>
      </c>
      <c r="C24" t="s">
        <v>10</v>
      </c>
      <c r="D24">
        <v>5.8728802209759297E-2</v>
      </c>
      <c r="E24">
        <v>0.289364546404552</v>
      </c>
      <c r="F24">
        <v>6.5757989686815704E-2</v>
      </c>
      <c r="G24" s="5">
        <v>0.47548954624246198</v>
      </c>
      <c r="H24">
        <v>8.2039046993880205E-2</v>
      </c>
      <c r="I24">
        <f t="shared" si="0"/>
        <v>4.3241132076513606E-3</v>
      </c>
    </row>
    <row r="25" spans="1:9">
      <c r="A25" t="s">
        <v>20</v>
      </c>
      <c r="B25" t="s">
        <v>11</v>
      </c>
      <c r="C25" t="s">
        <v>10</v>
      </c>
      <c r="D25">
        <v>3.8217858162441699E-2</v>
      </c>
      <c r="E25">
        <v>0.29363097982442399</v>
      </c>
      <c r="F25">
        <v>4.4794977392879701E-2</v>
      </c>
      <c r="G25" s="5">
        <v>0.62710032051325004</v>
      </c>
      <c r="H25">
        <v>7.84620869997915E-2</v>
      </c>
      <c r="I25">
        <f t="shared" si="0"/>
        <v>2.0065899996286034E-3</v>
      </c>
    </row>
    <row r="26" spans="1:9">
      <c r="A26" t="s">
        <v>20</v>
      </c>
      <c r="B26" t="s">
        <v>12</v>
      </c>
      <c r="C26" t="s">
        <v>10</v>
      </c>
      <c r="D26">
        <v>-2.9174087271690397E-4</v>
      </c>
      <c r="E26">
        <v>0.32149024659991599</v>
      </c>
      <c r="F26">
        <v>-2.6271166203389301E-2</v>
      </c>
      <c r="G26" s="5">
        <v>0.77577964770960395</v>
      </c>
      <c r="H26">
        <v>1.0219437712580401E-3</v>
      </c>
      <c r="I26">
        <f t="shared" si="0"/>
        <v>6.9017417368610423E-4</v>
      </c>
    </row>
    <row r="27" spans="1:9">
      <c r="A27" t="s">
        <v>20</v>
      </c>
      <c r="B27" t="s">
        <v>13</v>
      </c>
      <c r="C27" t="s">
        <v>10</v>
      </c>
      <c r="D27">
        <v>5.4813879938526103E-3</v>
      </c>
      <c r="E27">
        <v>0.15685434197787099</v>
      </c>
      <c r="F27">
        <v>0.335812980414183</v>
      </c>
      <c r="G27" s="5">
        <v>1.7709172992407701E-4</v>
      </c>
      <c r="H27">
        <v>1.41537031534745E-3</v>
      </c>
      <c r="I27">
        <f t="shared" si="0"/>
        <v>0.11277035781465646</v>
      </c>
    </row>
    <row r="28" spans="1:9">
      <c r="A28" t="s">
        <v>20</v>
      </c>
      <c r="B28" t="s">
        <v>14</v>
      </c>
      <c r="C28" t="s">
        <v>10</v>
      </c>
      <c r="D28">
        <v>1.21655632967923E-2</v>
      </c>
      <c r="E28">
        <v>-4.2480485240611897E-2</v>
      </c>
      <c r="F28">
        <v>0.81396575370755297</v>
      </c>
      <c r="G28" s="6">
        <v>1.3114303510227899E-29</v>
      </c>
      <c r="H28">
        <v>7.9927472061979603E-4</v>
      </c>
      <c r="I28">
        <f t="shared" si="0"/>
        <v>0.66254024820870483</v>
      </c>
    </row>
    <row r="29" spans="1:9">
      <c r="A29" t="s">
        <v>20</v>
      </c>
      <c r="B29" t="s">
        <v>15</v>
      </c>
      <c r="C29" t="s">
        <v>10</v>
      </c>
      <c r="D29">
        <v>8.2323187856871097E-3</v>
      </c>
      <c r="E29">
        <v>-0.102070659530934</v>
      </c>
      <c r="F29">
        <v>0.79450904361514096</v>
      </c>
      <c r="G29" s="6">
        <v>2.5145142400003301E-27</v>
      </c>
      <c r="H29">
        <v>5.7923062172875097E-4</v>
      </c>
      <c r="I29">
        <f t="shared" si="0"/>
        <v>0.63124462038624596</v>
      </c>
    </row>
    <row r="30" spans="1:9">
      <c r="A30" t="s">
        <v>20</v>
      </c>
      <c r="B30" t="s">
        <v>12</v>
      </c>
      <c r="C30" t="s">
        <v>14</v>
      </c>
      <c r="D30">
        <v>0.20458710655859999</v>
      </c>
      <c r="E30">
        <v>21.629819128122101</v>
      </c>
      <c r="F30">
        <v>0.27535085165519901</v>
      </c>
      <c r="G30" s="5">
        <v>2.3360129920193102E-3</v>
      </c>
      <c r="H30">
        <v>6.5755118356968401E-2</v>
      </c>
      <c r="I30">
        <f t="shared" si="0"/>
        <v>7.5818091507243418E-2</v>
      </c>
    </row>
    <row r="31" spans="1:9">
      <c r="A31" t="s">
        <v>20</v>
      </c>
      <c r="B31" t="s">
        <v>13</v>
      </c>
      <c r="C31" t="s">
        <v>14</v>
      </c>
      <c r="D31">
        <v>0.73231478200198696</v>
      </c>
      <c r="E31">
        <v>8.4664930283405404</v>
      </c>
      <c r="F31">
        <v>0.67054947257564901</v>
      </c>
      <c r="G31" s="6">
        <v>5.4031539833421598E-17</v>
      </c>
      <c r="H31">
        <v>7.4584871540649397E-2</v>
      </c>
      <c r="I31">
        <f t="shared" si="0"/>
        <v>0.44963659517148108</v>
      </c>
    </row>
    <row r="32" spans="1:9">
      <c r="A32" t="s">
        <v>20</v>
      </c>
      <c r="B32" t="s">
        <v>9</v>
      </c>
      <c r="C32" t="s">
        <v>14</v>
      </c>
      <c r="D32">
        <v>-23.2897036797258</v>
      </c>
      <c r="E32">
        <v>37.593136765919397</v>
      </c>
      <c r="F32">
        <v>-0.389751178418204</v>
      </c>
      <c r="G32" s="6">
        <v>1.0819137675598401E-5</v>
      </c>
      <c r="H32">
        <v>5.0659106136328198</v>
      </c>
      <c r="I32">
        <f t="shared" si="0"/>
        <v>0.15190598107837869</v>
      </c>
    </row>
    <row r="33" spans="1:9">
      <c r="A33" t="s">
        <v>20</v>
      </c>
      <c r="B33" t="s">
        <v>11</v>
      </c>
      <c r="C33" t="s">
        <v>14</v>
      </c>
      <c r="D33">
        <v>-29.088628575125199</v>
      </c>
      <c r="E33">
        <v>42.200948415769098</v>
      </c>
      <c r="F33">
        <v>-0.50957992833084498</v>
      </c>
      <c r="G33" s="6">
        <v>2.78052693542559E-9</v>
      </c>
      <c r="H33">
        <v>4.5214955094300704</v>
      </c>
      <c r="I33">
        <f t="shared" si="0"/>
        <v>0.25967170335766909</v>
      </c>
    </row>
    <row r="34" spans="1:9">
      <c r="A34" t="s">
        <v>20</v>
      </c>
      <c r="B34" t="s">
        <v>12</v>
      </c>
      <c r="C34" t="s">
        <v>15</v>
      </c>
      <c r="D34">
        <v>0.26521303949611702</v>
      </c>
      <c r="E34">
        <v>40.548805754320298</v>
      </c>
      <c r="F34">
        <v>0.24745730659140899</v>
      </c>
      <c r="G34" s="5">
        <v>6.4320791749605099E-3</v>
      </c>
      <c r="H34">
        <v>9.5594301644575205E-2</v>
      </c>
      <c r="I34">
        <f t="shared" si="0"/>
        <v>6.1235118585474591E-2</v>
      </c>
    </row>
    <row r="35" spans="1:9">
      <c r="A35" t="s">
        <v>20</v>
      </c>
      <c r="B35" t="s">
        <v>13</v>
      </c>
      <c r="C35" t="s">
        <v>15</v>
      </c>
      <c r="D35">
        <v>0.74716567602334305</v>
      </c>
      <c r="E35">
        <v>29.166496849208698</v>
      </c>
      <c r="F35">
        <v>0.47429351024641497</v>
      </c>
      <c r="G35" s="6">
        <v>4.4427237019628299E-8</v>
      </c>
      <c r="H35">
        <v>0.12767103315227299</v>
      </c>
      <c r="I35">
        <f t="shared" si="0"/>
        <v>0.22495433386186614</v>
      </c>
    </row>
    <row r="36" spans="1:9">
      <c r="A36" t="s">
        <v>20</v>
      </c>
      <c r="B36" t="s">
        <v>9</v>
      </c>
      <c r="C36" t="s">
        <v>15</v>
      </c>
      <c r="D36">
        <v>-33.369824300806002</v>
      </c>
      <c r="E36">
        <v>62.408763116091798</v>
      </c>
      <c r="F36">
        <v>-0.387145877397086</v>
      </c>
      <c r="G36" s="6">
        <v>1.2529091457245401E-5</v>
      </c>
      <c r="H36">
        <v>7.3160708246772996</v>
      </c>
      <c r="I36">
        <f t="shared" si="0"/>
        <v>0.14988193038555955</v>
      </c>
    </row>
    <row r="37" spans="1:9">
      <c r="A37" t="s">
        <v>20</v>
      </c>
      <c r="B37" t="s">
        <v>11</v>
      </c>
      <c r="C37" t="s">
        <v>15</v>
      </c>
      <c r="D37">
        <v>-39.114745742862297</v>
      </c>
      <c r="E37">
        <v>67.851652081888801</v>
      </c>
      <c r="F37">
        <v>-0.47503632840399901</v>
      </c>
      <c r="G37" s="6">
        <v>4.2042628135148503E-8</v>
      </c>
      <c r="H37">
        <v>6.6701971101883801</v>
      </c>
      <c r="I37">
        <f t="shared" si="0"/>
        <v>0.225659513303552</v>
      </c>
    </row>
    <row r="38" spans="1:9">
      <c r="A38" t="s">
        <v>20</v>
      </c>
      <c r="B38" t="s">
        <v>12</v>
      </c>
      <c r="C38" t="s">
        <v>16</v>
      </c>
      <c r="D38">
        <v>1.1906588583388E-2</v>
      </c>
      <c r="E38">
        <v>0.279995447924134</v>
      </c>
      <c r="F38">
        <v>0.38602198059102599</v>
      </c>
      <c r="G38" s="6">
        <v>1.33427137296522E-5</v>
      </c>
      <c r="H38">
        <v>2.6193635497674598E-3</v>
      </c>
      <c r="I38">
        <f t="shared" si="0"/>
        <v>0.14901296949941845</v>
      </c>
    </row>
    <row r="39" spans="1:9">
      <c r="A39" t="s">
        <v>20</v>
      </c>
      <c r="B39" t="s">
        <v>13</v>
      </c>
      <c r="C39" t="s">
        <v>16</v>
      </c>
      <c r="D39">
        <v>2.8961672900647498E-2</v>
      </c>
      <c r="E39">
        <v>-0.10223035759756199</v>
      </c>
      <c r="F39">
        <v>0.63881218617197799</v>
      </c>
      <c r="G39" s="6">
        <v>4.1502823322437299E-15</v>
      </c>
      <c r="H39">
        <v>3.2110020675998E-3</v>
      </c>
      <c r="I39">
        <f t="shared" si="0"/>
        <v>0.40808100920182189</v>
      </c>
    </row>
    <row r="40" spans="1:9">
      <c r="A40" t="s">
        <v>20</v>
      </c>
      <c r="B40" t="s">
        <v>10</v>
      </c>
      <c r="C40" t="s">
        <v>16</v>
      </c>
      <c r="D40">
        <v>2.04098344540277</v>
      </c>
      <c r="E40">
        <v>7.7185733226019099E-2</v>
      </c>
      <c r="F40">
        <v>0.73482190679224701</v>
      </c>
      <c r="G40" s="6">
        <v>1.26073930926448E-21</v>
      </c>
      <c r="H40">
        <v>0.17342537962738699</v>
      </c>
      <c r="I40">
        <f t="shared" si="0"/>
        <v>0.53996323470179375</v>
      </c>
    </row>
    <row r="41" spans="1:9">
      <c r="A41" t="s">
        <v>20</v>
      </c>
      <c r="B41" t="s">
        <v>11</v>
      </c>
      <c r="C41" t="s">
        <v>16</v>
      </c>
      <c r="D41">
        <v>-1.47945685177357</v>
      </c>
      <c r="E41">
        <v>1.3806867290912499</v>
      </c>
      <c r="F41">
        <v>-0.62432092909411097</v>
      </c>
      <c r="G41" s="6">
        <v>2.55868912395346E-14</v>
      </c>
      <c r="H41">
        <v>0.17041107908483799</v>
      </c>
      <c r="I41">
        <f t="shared" si="0"/>
        <v>0.38977662250493395</v>
      </c>
    </row>
    <row r="42" spans="1:9">
      <c r="A42" t="s">
        <v>20</v>
      </c>
      <c r="B42" t="s">
        <v>14</v>
      </c>
      <c r="C42" t="s">
        <v>16</v>
      </c>
      <c r="D42">
        <v>4.0455402163223499E-2</v>
      </c>
      <c r="E42">
        <v>-0.46341944778519201</v>
      </c>
      <c r="F42">
        <v>0.97452513785460304</v>
      </c>
      <c r="G42" s="6">
        <v>1.8577638151396899E-78</v>
      </c>
      <c r="H42">
        <v>8.5709651213235704E-4</v>
      </c>
      <c r="I42">
        <f t="shared" si="0"/>
        <v>0.9496992443105331</v>
      </c>
    </row>
    <row r="43" spans="1:9">
      <c r="A43" t="s">
        <v>20</v>
      </c>
      <c r="B43" t="s">
        <v>15</v>
      </c>
      <c r="C43" t="s">
        <v>16</v>
      </c>
      <c r="D43">
        <v>2.71441068247147E-2</v>
      </c>
      <c r="E43">
        <v>-0.64995877229346299</v>
      </c>
      <c r="F43">
        <v>0.94318054563655296</v>
      </c>
      <c r="G43" s="6">
        <v>2.6769398882148202E-58</v>
      </c>
      <c r="H43">
        <v>8.8032862601672001E-4</v>
      </c>
      <c r="I43">
        <f t="shared" si="0"/>
        <v>0.88958954166726578</v>
      </c>
    </row>
    <row r="44" spans="1:9">
      <c r="A44" t="s">
        <v>20</v>
      </c>
      <c r="B44" t="s">
        <v>17</v>
      </c>
      <c r="C44" t="s">
        <v>18</v>
      </c>
      <c r="D44">
        <v>1.0001774710068401</v>
      </c>
      <c r="E44" s="1">
        <v>-7.23678966749186E-6</v>
      </c>
      <c r="F44">
        <v>0.99999912057921203</v>
      </c>
      <c r="G44" s="5">
        <v>0</v>
      </c>
      <c r="H44">
        <v>1.22109572856173E-4</v>
      </c>
      <c r="I44">
        <f t="shared" si="0"/>
        <v>0.99999824115919744</v>
      </c>
    </row>
    <row r="45" spans="1:9">
      <c r="A45" t="s">
        <v>20</v>
      </c>
      <c r="B45" t="s">
        <v>19</v>
      </c>
      <c r="C45" t="s">
        <v>18</v>
      </c>
      <c r="D45">
        <v>0.14308523075534399</v>
      </c>
      <c r="E45">
        <v>5.4931030877543002E-2</v>
      </c>
      <c r="F45">
        <v>0.101761933754814</v>
      </c>
      <c r="G45" s="5">
        <v>0.26874730860127399</v>
      </c>
      <c r="H45">
        <v>0.128768033410947</v>
      </c>
      <c r="I45">
        <f t="shared" si="0"/>
        <v>1.0355491161519154E-2</v>
      </c>
    </row>
    <row r="46" spans="1:9">
      <c r="A46" t="s">
        <v>21</v>
      </c>
      <c r="B46" t="s">
        <v>9</v>
      </c>
      <c r="C46" t="s">
        <v>10</v>
      </c>
      <c r="D46">
        <v>0.32428062390837098</v>
      </c>
      <c r="E46">
        <v>0.156847168140307</v>
      </c>
      <c r="F46">
        <v>0.22597833671178699</v>
      </c>
      <c r="G46" s="5">
        <v>1.30739223789008E-2</v>
      </c>
      <c r="H46">
        <v>0.12868595342386699</v>
      </c>
      <c r="I46">
        <f t="shared" si="0"/>
        <v>5.1066208663025775E-2</v>
      </c>
    </row>
    <row r="47" spans="1:9">
      <c r="A47" t="s">
        <v>21</v>
      </c>
      <c r="B47" t="s">
        <v>11</v>
      </c>
      <c r="C47" t="s">
        <v>10</v>
      </c>
      <c r="D47">
        <v>0.35942504160178801</v>
      </c>
      <c r="E47">
        <v>0.127996355767374</v>
      </c>
      <c r="F47">
        <v>0.344756100663831</v>
      </c>
      <c r="G47" s="5">
        <v>1.1526124657611E-4</v>
      </c>
      <c r="H47">
        <v>9.0090422297310999E-2</v>
      </c>
      <c r="I47">
        <f t="shared" si="0"/>
        <v>0.11885676894492958</v>
      </c>
    </row>
    <row r="48" spans="1:9">
      <c r="A48" t="s">
        <v>21</v>
      </c>
      <c r="B48" t="s">
        <v>12</v>
      </c>
      <c r="C48" t="s">
        <v>10</v>
      </c>
      <c r="D48">
        <v>-6.4652149836429205E-4</v>
      </c>
      <c r="E48">
        <v>0.26516217459157199</v>
      </c>
      <c r="F48">
        <v>-9.3667815876104898E-2</v>
      </c>
      <c r="G48" s="5">
        <v>0.308878155601158</v>
      </c>
      <c r="H48">
        <v>6.32612822818537E-4</v>
      </c>
      <c r="I48">
        <f t="shared" si="0"/>
        <v>8.7736597309998887E-3</v>
      </c>
    </row>
    <row r="49" spans="1:9">
      <c r="A49" t="s">
        <v>21</v>
      </c>
      <c r="B49" t="s">
        <v>13</v>
      </c>
      <c r="C49" t="s">
        <v>10</v>
      </c>
      <c r="D49">
        <v>-1.2085006271549299E-3</v>
      </c>
      <c r="E49">
        <v>0.27664043007209499</v>
      </c>
      <c r="F49">
        <v>-0.156116997740717</v>
      </c>
      <c r="G49" s="5">
        <v>8.8618103519157096E-2</v>
      </c>
      <c r="H49">
        <v>7.0387849775428799E-4</v>
      </c>
      <c r="I49">
        <f t="shared" si="0"/>
        <v>2.4372516983575034E-2</v>
      </c>
    </row>
    <row r="50" spans="1:9">
      <c r="A50" t="s">
        <v>21</v>
      </c>
      <c r="B50" t="s">
        <v>14</v>
      </c>
      <c r="C50" t="s">
        <v>10</v>
      </c>
      <c r="D50">
        <v>8.8364552451576199E-3</v>
      </c>
      <c r="E50">
        <v>-3.6346153150841103E-2</v>
      </c>
      <c r="F50">
        <v>0.78280518049185799</v>
      </c>
      <c r="G50" s="6">
        <v>4.55422817390666E-26</v>
      </c>
      <c r="H50">
        <v>6.4663627245023297E-4</v>
      </c>
      <c r="I50">
        <f t="shared" si="0"/>
        <v>0.61278395060489033</v>
      </c>
    </row>
    <row r="51" spans="1:9">
      <c r="A51" t="s">
        <v>21</v>
      </c>
      <c r="B51" t="s">
        <v>15</v>
      </c>
      <c r="C51" t="s">
        <v>10</v>
      </c>
      <c r="D51">
        <v>5.7142699227271604E-3</v>
      </c>
      <c r="E51">
        <v>-6.0667621008393097E-2</v>
      </c>
      <c r="F51">
        <v>0.78992251615156595</v>
      </c>
      <c r="G51" s="6">
        <v>7.9974270068852394E-27</v>
      </c>
      <c r="H51">
        <v>4.0835899227169298E-4</v>
      </c>
      <c r="I51">
        <f t="shared" si="0"/>
        <v>0.62397758152322091</v>
      </c>
    </row>
    <row r="52" spans="1:9">
      <c r="A52" t="s">
        <v>21</v>
      </c>
      <c r="B52" t="s">
        <v>12</v>
      </c>
      <c r="C52" t="s">
        <v>14</v>
      </c>
      <c r="D52">
        <v>0.10953421853569301</v>
      </c>
      <c r="E52">
        <v>24.519203164336201</v>
      </c>
      <c r="F52">
        <v>0.17913548671227</v>
      </c>
      <c r="G52" s="5">
        <v>5.02702664638459E-2</v>
      </c>
      <c r="H52">
        <v>5.5378957755356402E-2</v>
      </c>
      <c r="I52">
        <f t="shared" si="0"/>
        <v>3.2089522599641866E-2</v>
      </c>
    </row>
    <row r="53" spans="1:9">
      <c r="A53" t="s">
        <v>21</v>
      </c>
      <c r="B53" t="s">
        <v>13</v>
      </c>
      <c r="C53" t="s">
        <v>14</v>
      </c>
      <c r="D53">
        <v>0.31473673346279302</v>
      </c>
      <c r="E53">
        <v>18.437362419444</v>
      </c>
      <c r="F53">
        <v>0.45896031499275203</v>
      </c>
      <c r="G53" s="6">
        <v>1.3481397709216499E-7</v>
      </c>
      <c r="H53">
        <v>5.6087695296205699E-2</v>
      </c>
      <c r="I53">
        <f t="shared" si="0"/>
        <v>0.21064457073824616</v>
      </c>
    </row>
    <row r="54" spans="1:9">
      <c r="A54" t="s">
        <v>21</v>
      </c>
      <c r="B54" t="s">
        <v>9</v>
      </c>
      <c r="C54" t="s">
        <v>14</v>
      </c>
      <c r="D54">
        <v>-32.456651011852301</v>
      </c>
      <c r="E54">
        <v>37.7160308375908</v>
      </c>
      <c r="F54">
        <v>-0.25531357377200897</v>
      </c>
      <c r="G54" s="5">
        <v>4.8876609215090404E-3</v>
      </c>
      <c r="H54">
        <v>11.3149236757321</v>
      </c>
      <c r="I54">
        <f t="shared" si="0"/>
        <v>6.5185020952235065E-2</v>
      </c>
    </row>
    <row r="55" spans="1:9">
      <c r="A55" t="s">
        <v>21</v>
      </c>
      <c r="B55" t="s">
        <v>11</v>
      </c>
      <c r="C55" t="s">
        <v>14</v>
      </c>
      <c r="D55">
        <v>-25.641981904146299</v>
      </c>
      <c r="E55">
        <v>37.637364402752098</v>
      </c>
      <c r="F55">
        <v>-0.277638448486483</v>
      </c>
      <c r="G55" s="5">
        <v>2.1396027905829802E-3</v>
      </c>
      <c r="H55">
        <v>8.1679350252597693</v>
      </c>
      <c r="I55">
        <f t="shared" si="0"/>
        <v>7.708310807798148E-2</v>
      </c>
    </row>
    <row r="56" spans="1:9">
      <c r="A56" t="s">
        <v>21</v>
      </c>
      <c r="B56" t="s">
        <v>12</v>
      </c>
      <c r="C56" t="s">
        <v>15</v>
      </c>
      <c r="D56">
        <v>0.134607856215988</v>
      </c>
      <c r="E56">
        <v>43.999920672558503</v>
      </c>
      <c r="F56">
        <v>0.14107630891064299</v>
      </c>
      <c r="G56" s="5">
        <v>0.124309174999545</v>
      </c>
      <c r="H56">
        <v>8.6958081743416196E-2</v>
      </c>
      <c r="I56">
        <f t="shared" si="0"/>
        <v>1.9902524935851165E-2</v>
      </c>
    </row>
    <row r="57" spans="1:9">
      <c r="A57" t="s">
        <v>21</v>
      </c>
      <c r="B57" t="s">
        <v>13</v>
      </c>
      <c r="C57" t="s">
        <v>15</v>
      </c>
      <c r="D57">
        <v>0.461026049448783</v>
      </c>
      <c r="E57">
        <v>33.733345303579597</v>
      </c>
      <c r="F57">
        <v>0.43082910400895202</v>
      </c>
      <c r="G57" s="6">
        <v>9.0180799528606302E-7</v>
      </c>
      <c r="H57">
        <v>8.8898544972945706E-2</v>
      </c>
      <c r="I57">
        <f t="shared" si="0"/>
        <v>0.18561371686115641</v>
      </c>
    </row>
    <row r="58" spans="1:9">
      <c r="A58" t="s">
        <v>21</v>
      </c>
      <c r="B58" t="s">
        <v>9</v>
      </c>
      <c r="C58" t="s">
        <v>15</v>
      </c>
      <c r="D58">
        <v>-41.514637512536197</v>
      </c>
      <c r="E58">
        <v>60.590917104616501</v>
      </c>
      <c r="F58">
        <v>-0.20927787454882099</v>
      </c>
      <c r="G58" s="5">
        <v>2.1790922512476101E-2</v>
      </c>
      <c r="H58">
        <v>17.857141074655601</v>
      </c>
      <c r="I58">
        <f t="shared" si="0"/>
        <v>4.3797228775672055E-2</v>
      </c>
    </row>
    <row r="59" spans="1:9">
      <c r="A59" t="s">
        <v>21</v>
      </c>
      <c r="B59" t="s">
        <v>11</v>
      </c>
      <c r="C59" t="s">
        <v>15</v>
      </c>
      <c r="D59">
        <v>-31.888518333575099</v>
      </c>
      <c r="E59">
        <v>60.229153447618799</v>
      </c>
      <c r="F59">
        <v>-0.22126576668631001</v>
      </c>
      <c r="G59" s="5">
        <v>1.51548277478286E-2</v>
      </c>
      <c r="H59">
        <v>12.938348214739801</v>
      </c>
      <c r="I59">
        <f t="shared" si="0"/>
        <v>4.8958539507280574E-2</v>
      </c>
    </row>
    <row r="60" spans="1:9">
      <c r="A60" t="s">
        <v>21</v>
      </c>
      <c r="B60" t="s">
        <v>12</v>
      </c>
      <c r="C60" t="s">
        <v>16</v>
      </c>
      <c r="D60">
        <v>7.0692937415395302E-3</v>
      </c>
      <c r="E60">
        <v>0.45386596184675798</v>
      </c>
      <c r="F60">
        <v>0.27843071594603802</v>
      </c>
      <c r="G60" s="5">
        <v>2.0751462433303302E-3</v>
      </c>
      <c r="H60">
        <v>2.2448922318797598E-3</v>
      </c>
      <c r="I60">
        <f t="shared" si="0"/>
        <v>7.7523663582223318E-2</v>
      </c>
    </row>
    <row r="61" spans="1:9">
      <c r="A61" t="s">
        <v>21</v>
      </c>
      <c r="B61" t="s">
        <v>13</v>
      </c>
      <c r="C61" t="s">
        <v>16</v>
      </c>
      <c r="D61">
        <v>1.4576515255885601E-2</v>
      </c>
      <c r="E61">
        <v>0.27711592778900401</v>
      </c>
      <c r="F61">
        <v>0.51190658452898496</v>
      </c>
      <c r="G61" s="6">
        <v>2.2901949536922301E-9</v>
      </c>
      <c r="H61">
        <v>2.2518317888294702E-3</v>
      </c>
      <c r="I61">
        <f t="shared" si="0"/>
        <v>0.26204835128413084</v>
      </c>
    </row>
    <row r="62" spans="1:9">
      <c r="A62" t="s">
        <v>21</v>
      </c>
      <c r="B62" t="s">
        <v>10</v>
      </c>
      <c r="C62" t="s">
        <v>16</v>
      </c>
      <c r="D62">
        <v>2.6854665702488201</v>
      </c>
      <c r="E62">
        <v>0.204554435195345</v>
      </c>
      <c r="F62">
        <v>0.73005140996595896</v>
      </c>
      <c r="G62" s="6">
        <v>3.0879719892569501E-21</v>
      </c>
      <c r="H62">
        <v>0.23141704241641201</v>
      </c>
      <c r="I62">
        <f t="shared" si="0"/>
        <v>0.53297506119328464</v>
      </c>
    </row>
    <row r="63" spans="1:9">
      <c r="A63" t="s">
        <v>21</v>
      </c>
      <c r="B63" t="s">
        <v>11</v>
      </c>
      <c r="C63" t="s">
        <v>16</v>
      </c>
      <c r="D63">
        <v>-1.4047161953554299</v>
      </c>
      <c r="E63">
        <v>1.22867443128219</v>
      </c>
      <c r="F63">
        <v>-0.36629071624666798</v>
      </c>
      <c r="G63" s="6">
        <v>3.88102685080002E-5</v>
      </c>
      <c r="H63">
        <v>0.32850218900964601</v>
      </c>
      <c r="I63">
        <f t="shared" si="0"/>
        <v>0.13416888880849703</v>
      </c>
    </row>
    <row r="64" spans="1:9">
      <c r="A64" t="s">
        <v>21</v>
      </c>
      <c r="B64" t="s">
        <v>14</v>
      </c>
      <c r="C64" t="s">
        <v>16</v>
      </c>
      <c r="D64">
        <v>4.0936333418265802E-2</v>
      </c>
      <c r="E64">
        <v>-0.413986696295362</v>
      </c>
      <c r="F64">
        <v>0.98586680484942402</v>
      </c>
      <c r="G64" s="6">
        <v>2.06250073833041E-93</v>
      </c>
      <c r="H64">
        <v>6.4039057256221803E-4</v>
      </c>
      <c r="I64">
        <f t="shared" si="0"/>
        <v>0.97193335690401228</v>
      </c>
    </row>
    <row r="65" spans="1:9">
      <c r="A65" t="s">
        <v>21</v>
      </c>
      <c r="B65" t="s">
        <v>15</v>
      </c>
      <c r="C65" t="s">
        <v>16</v>
      </c>
      <c r="D65">
        <v>2.56636071394481E-2</v>
      </c>
      <c r="E65">
        <v>-0.48535674245977001</v>
      </c>
      <c r="F65">
        <v>0.96443982182279597</v>
      </c>
      <c r="G65" s="6">
        <v>4.88078000233268E-70</v>
      </c>
      <c r="H65">
        <v>6.4744501217078496E-4</v>
      </c>
      <c r="I65">
        <f t="shared" si="0"/>
        <v>0.93014416991758642</v>
      </c>
    </row>
    <row r="66" spans="1:9">
      <c r="A66" t="s">
        <v>21</v>
      </c>
      <c r="B66" t="s">
        <v>17</v>
      </c>
      <c r="C66" t="s">
        <v>18</v>
      </c>
      <c r="D66">
        <v>1.0125636413579799</v>
      </c>
      <c r="E66" s="1">
        <v>9.6713235089550197E-5</v>
      </c>
      <c r="F66">
        <v>0.93950681542118197</v>
      </c>
      <c r="G66" s="6">
        <v>9.6865020921238504E-57</v>
      </c>
      <c r="H66">
        <v>3.3984451843175001E-2</v>
      </c>
      <c r="I66">
        <f t="shared" si="0"/>
        <v>0.88267305622285086</v>
      </c>
    </row>
    <row r="67" spans="1:9">
      <c r="A67" t="s">
        <v>21</v>
      </c>
      <c r="B67" t="s">
        <v>19</v>
      </c>
      <c r="C67" t="s">
        <v>18</v>
      </c>
      <c r="D67">
        <v>-9.9552741083514695E-2</v>
      </c>
      <c r="E67">
        <v>6.5662096464982E-2</v>
      </c>
      <c r="F67">
        <v>-0.20611781359640299</v>
      </c>
      <c r="G67" s="5">
        <v>2.39092668508749E-2</v>
      </c>
      <c r="H67">
        <v>4.3508046713010097E-2</v>
      </c>
      <c r="I67">
        <f t="shared" ref="I67" si="1">F67^2</f>
        <v>4.2484553081761529E-2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工作表3</vt:lpstr>
      <vt:lpstr>Regression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游傑新</dc:creator>
  <cp:lastModifiedBy>游傑新</cp:lastModifiedBy>
  <dcterms:created xsi:type="dcterms:W3CDTF">2021-11-11T06:17:53Z</dcterms:created>
  <dcterms:modified xsi:type="dcterms:W3CDTF">2021-11-16T09:35:29Z</dcterms:modified>
</cp:coreProperties>
</file>