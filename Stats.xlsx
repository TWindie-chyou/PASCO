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inaeatshit/Documents/PycharmProjects/PASCO/"/>
    </mc:Choice>
  </mc:AlternateContent>
  <xr:revisionPtr revIDLastSave="0" documentId="13_ncr:1_{6E44723E-6670-344B-9A63-AE231272CD09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tats" sheetId="1" r:id="rId1"/>
  </sheets>
  <definedNames>
    <definedName name="_xlnm._FilterDatabase" localSheetId="0" hidden="1">Stats!$A$1:$G$18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2" i="1" l="1"/>
  <c r="I12" i="1"/>
  <c r="H12" i="1"/>
  <c r="J11" i="1"/>
  <c r="I11" i="1"/>
  <c r="H11" i="1"/>
  <c r="J10" i="1"/>
  <c r="I10" i="1"/>
  <c r="K10" i="1" s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K5" i="1" s="1"/>
  <c r="J4" i="1"/>
  <c r="I4" i="1"/>
  <c r="H4" i="1"/>
  <c r="J3" i="1"/>
  <c r="I3" i="1"/>
  <c r="H3" i="1"/>
  <c r="J2" i="1"/>
  <c r="I2" i="1"/>
  <c r="H2" i="1"/>
  <c r="K2" i="1" s="1"/>
  <c r="K12" i="1"/>
  <c r="K4" i="1"/>
  <c r="F14" i="1"/>
  <c r="F13" i="1"/>
  <c r="D14" i="1"/>
  <c r="D13" i="1"/>
  <c r="B14" i="1"/>
  <c r="B13" i="1"/>
  <c r="K7" i="1" l="1"/>
  <c r="K8" i="1"/>
  <c r="K3" i="1"/>
  <c r="K11" i="1"/>
  <c r="K6" i="1"/>
  <c r="K9" i="1"/>
</calcChain>
</file>

<file path=xl/sharedStrings.xml><?xml version="1.0" encoding="utf-8"?>
<sst xmlns="http://schemas.openxmlformats.org/spreadsheetml/2006/main" count="19" uniqueCount="19">
  <si>
    <t>Parameter</t>
  </si>
  <si>
    <t>SF_mean</t>
  </si>
  <si>
    <t>SF_std</t>
  </si>
  <si>
    <t>SS_mean</t>
  </si>
  <si>
    <t>SS_std</t>
  </si>
  <si>
    <t>ST_mean</t>
  </si>
  <si>
    <t>ST_std</t>
  </si>
  <si>
    <t>GRF_Max_(Normalized)</t>
  </si>
  <si>
    <t>GRF_Max_2_(Normalized)</t>
  </si>
  <si>
    <t>GRF_1st_high_(Normalized)</t>
  </si>
  <si>
    <t>GRF_1st_low_(Normalized)</t>
  </si>
  <si>
    <t>GRF_2nd_high_(Normalized)</t>
  </si>
  <si>
    <t>GRF_2nd_low_(Normalized)</t>
  </si>
  <si>
    <t>Max_GRF_diff_1st_(Normalized)</t>
  </si>
  <si>
    <t>Max_GRF_diff_2nd_(Normalized)</t>
  </si>
  <si>
    <t>Impulse_high_(Normalized)</t>
  </si>
  <si>
    <t>Impulse_low_(Normalized)</t>
  </si>
  <si>
    <t>Combine</t>
    <phoneticPr fontId="18" type="noConversion"/>
  </si>
  <si>
    <t>Jump_Height_(Impulse)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</si>
</sst>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42" applyNumberFormat="1" applyFont="1">
      <alignment vertical="center"/>
    </xf>
  </cellXfs>
  <cellStyles count="43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百分比" xfId="42" builtinId="5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zoomScale="164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J16" sqref="J16"/>
    </sheetView>
  </sheetViews>
  <sheetFormatPr baseColWidth="10" defaultRowHeight="15"/>
  <cols>
    <col min="1" max="1" width="34.5" bestFit="1" customWidth="1"/>
    <col min="2" max="7" width="13" customWidth="1"/>
    <col min="8" max="9" width="17" bestFit="1" customWidth="1"/>
    <col min="10" max="10" width="15.832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K1" t="s">
        <v>17</v>
      </c>
    </row>
    <row r="2" spans="1:11">
      <c r="A2" t="s">
        <v>18</v>
      </c>
      <c r="B2">
        <v>0.29886523248584002</v>
      </c>
      <c r="C2">
        <v>6.4265794913245106E-2</v>
      </c>
      <c r="D2">
        <v>0.31091118439257198</v>
      </c>
      <c r="E2">
        <v>6.6981790537996203E-2</v>
      </c>
      <c r="F2">
        <v>0.23114662318738399</v>
      </c>
      <c r="G2">
        <v>5.8289232600279302E-2</v>
      </c>
      <c r="H2" t="str">
        <f xml:space="preserve"> ROUND(B2, 2) &amp; " \textpm " &amp; ROUND(C2, 2)</f>
        <v>0.3 \textpm 0.06</v>
      </c>
      <c r="I2" t="str">
        <f xml:space="preserve"> ROUND(D2, 2) &amp; " \textpm " &amp; ROUND(E2, 2)</f>
        <v>0.31 \textpm 0.07</v>
      </c>
      <c r="J2" t="str">
        <f xml:space="preserve"> ROUND(F2, 2) &amp; " \textpm " &amp; ROUND(G2, 2)</f>
        <v>0.23 \textpm 0.06</v>
      </c>
      <c r="K2" t="str">
        <f>H2 &amp; " &amp; " &amp; I2 &amp; " &amp; " &amp; J2</f>
        <v>0.3 \textpm 0.06 &amp; 0.31 \textpm 0.07 &amp; 0.23 \textpm 0.06</v>
      </c>
    </row>
    <row r="3" spans="1:11">
      <c r="A3" t="s">
        <v>7</v>
      </c>
      <c r="B3">
        <v>33.134005228075601</v>
      </c>
      <c r="C3">
        <v>4.8090767614178702</v>
      </c>
      <c r="D3">
        <v>36.261844659693502</v>
      </c>
      <c r="E3">
        <v>5.2587296211503904</v>
      </c>
      <c r="F3">
        <v>52.471914104585302</v>
      </c>
      <c r="G3">
        <v>6.3842259526014002</v>
      </c>
      <c r="H3" t="str">
        <f t="shared" ref="H3:H12" si="0" xml:space="preserve"> ROUND(B3, 2) &amp; " \textpm " &amp; ROUND(C3, 2)</f>
        <v>33.13 \textpm 4.81</v>
      </c>
      <c r="I3" t="str">
        <f t="shared" ref="I3:I12" si="1" xml:space="preserve"> ROUND(D3, 2) &amp; " \textpm " &amp; ROUND(E3, 2)</f>
        <v>36.26 \textpm 5.26</v>
      </c>
      <c r="J3" t="str">
        <f t="shared" ref="J3:J12" si="2" xml:space="preserve"> ROUND(F3, 2) &amp; " \textpm " &amp; ROUND(G3, 2)</f>
        <v>52.47 \textpm 6.38</v>
      </c>
      <c r="K3" t="str">
        <f t="shared" ref="K3:K11" si="3">H3 &amp; " &amp; " &amp; I3 &amp; " &amp; " &amp; J3</f>
        <v>33.13 \textpm 4.81 &amp; 36.26 \textpm 5.26 &amp; 52.47 \textpm 6.38</v>
      </c>
    </row>
    <row r="4" spans="1:11">
      <c r="A4" t="s">
        <v>8</v>
      </c>
      <c r="B4">
        <v>43.436090523292997</v>
      </c>
      <c r="C4">
        <v>8.5121689549800301</v>
      </c>
      <c r="D4">
        <v>46.387955801653298</v>
      </c>
      <c r="E4">
        <v>10.3018687734924</v>
      </c>
      <c r="F4">
        <v>51.129698365844099</v>
      </c>
      <c r="G4">
        <v>8.0268859531163308</v>
      </c>
      <c r="H4" t="str">
        <f t="shared" si="0"/>
        <v>43.44 \textpm 8.51</v>
      </c>
      <c r="I4" t="str">
        <f t="shared" si="1"/>
        <v>46.39 \textpm 10.3</v>
      </c>
      <c r="J4" t="str">
        <f t="shared" si="2"/>
        <v>51.13 \textpm 8.03</v>
      </c>
      <c r="K4" t="str">
        <f t="shared" si="3"/>
        <v>43.44 \textpm 8.51 &amp; 46.39 \textpm 10.3 &amp; 51.13 \textpm 8.03</v>
      </c>
    </row>
    <row r="5" spans="1:11">
      <c r="A5" t="s">
        <v>9</v>
      </c>
      <c r="B5">
        <v>19.6622204015354</v>
      </c>
      <c r="C5">
        <v>3.7040676013911602</v>
      </c>
      <c r="D5">
        <v>21.106462855021601</v>
      </c>
      <c r="E5">
        <v>2.8931703674637301</v>
      </c>
      <c r="F5">
        <v>29.471542342472599</v>
      </c>
      <c r="G5">
        <v>3.4365813496516502</v>
      </c>
      <c r="H5" t="str">
        <f t="shared" si="0"/>
        <v>19.66 \textpm 3.7</v>
      </c>
      <c r="I5" t="str">
        <f t="shared" si="1"/>
        <v>21.11 \textpm 2.89</v>
      </c>
      <c r="J5" t="str">
        <f t="shared" si="2"/>
        <v>29.47 \textpm 3.44</v>
      </c>
      <c r="K5" t="str">
        <f t="shared" si="3"/>
        <v>19.66 \textpm 3.7 &amp; 21.11 \textpm 2.89 &amp; 29.47 \textpm 3.44</v>
      </c>
    </row>
    <row r="6" spans="1:11">
      <c r="A6" t="s">
        <v>10</v>
      </c>
      <c r="B6">
        <v>16.051160233020699</v>
      </c>
      <c r="C6">
        <v>2.3727799489031098</v>
      </c>
      <c r="D6">
        <v>17.395796110628499</v>
      </c>
      <c r="E6">
        <v>2.6857122924372701</v>
      </c>
      <c r="F6">
        <v>25.067939493322001</v>
      </c>
      <c r="G6">
        <v>3.4243974135708601</v>
      </c>
      <c r="H6" t="str">
        <f t="shared" si="0"/>
        <v>16.05 \textpm 2.37</v>
      </c>
      <c r="I6" t="str">
        <f t="shared" si="1"/>
        <v>17.4 \textpm 2.69</v>
      </c>
      <c r="J6" t="str">
        <f t="shared" si="2"/>
        <v>25.07 \textpm 3.42</v>
      </c>
      <c r="K6" t="str">
        <f t="shared" si="3"/>
        <v>16.05 \textpm 2.37 &amp; 17.4 \textpm 2.69 &amp; 25.07 \textpm 3.42</v>
      </c>
    </row>
    <row r="7" spans="1:11">
      <c r="A7" t="s">
        <v>11</v>
      </c>
      <c r="B7">
        <v>25.5072371675307</v>
      </c>
      <c r="C7">
        <v>4.7335317137136803</v>
      </c>
      <c r="D7">
        <v>27.452476356587699</v>
      </c>
      <c r="E7">
        <v>6.2822765484326197</v>
      </c>
      <c r="F7">
        <v>28.795005576414901</v>
      </c>
      <c r="G7">
        <v>4.5626771880537502</v>
      </c>
      <c r="H7" t="str">
        <f t="shared" si="0"/>
        <v>25.51 \textpm 4.73</v>
      </c>
      <c r="I7" t="str">
        <f t="shared" si="1"/>
        <v>27.45 \textpm 6.28</v>
      </c>
      <c r="J7" t="str">
        <f t="shared" si="2"/>
        <v>28.8 \textpm 4.56</v>
      </c>
      <c r="K7" t="str">
        <f t="shared" si="3"/>
        <v>25.51 \textpm 4.73 &amp; 27.45 \textpm 6.28 &amp; 28.8 \textpm 4.56</v>
      </c>
    </row>
    <row r="8" spans="1:11">
      <c r="A8" t="s">
        <v>12</v>
      </c>
      <c r="B8">
        <v>20.354805993299301</v>
      </c>
      <c r="C8">
        <v>4.2523647812387804</v>
      </c>
      <c r="D8">
        <v>21.456750113728202</v>
      </c>
      <c r="E8">
        <v>4.7108457972768996</v>
      </c>
      <c r="F8">
        <v>23.629545000419999</v>
      </c>
      <c r="G8">
        <v>3.9635522816693198</v>
      </c>
      <c r="H8" t="str">
        <f t="shared" si="0"/>
        <v>20.35 \textpm 4.25</v>
      </c>
      <c r="I8" t="str">
        <f t="shared" si="1"/>
        <v>21.46 \textpm 4.71</v>
      </c>
      <c r="J8" t="str">
        <f t="shared" si="2"/>
        <v>23.63 \textpm 3.96</v>
      </c>
      <c r="K8" t="str">
        <f t="shared" si="3"/>
        <v>20.35 \textpm 4.25 &amp; 21.46 \textpm 4.71 &amp; 23.63 \textpm 3.96</v>
      </c>
    </row>
    <row r="9" spans="1:11">
      <c r="A9" t="s">
        <v>13</v>
      </c>
      <c r="B9">
        <v>3.6110601685147201</v>
      </c>
      <c r="C9">
        <v>2.7836040200127901</v>
      </c>
      <c r="D9">
        <v>3.7106667443930998</v>
      </c>
      <c r="E9">
        <v>2.0214610310909098</v>
      </c>
      <c r="F9">
        <v>4.4036028491506096</v>
      </c>
      <c r="G9">
        <v>2.41629864213821</v>
      </c>
      <c r="H9" t="str">
        <f t="shared" si="0"/>
        <v>3.61 \textpm 2.78</v>
      </c>
      <c r="I9" t="str">
        <f t="shared" si="1"/>
        <v>3.71 \textpm 2.02</v>
      </c>
      <c r="J9" t="str">
        <f t="shared" si="2"/>
        <v>4.4 \textpm 2.42</v>
      </c>
      <c r="K9" t="str">
        <f t="shared" si="3"/>
        <v>3.61 \textpm 2.78 &amp; 3.71 \textpm 2.02 &amp; 4.4 \textpm 2.42</v>
      </c>
    </row>
    <row r="10" spans="1:11">
      <c r="A10" t="s">
        <v>14</v>
      </c>
      <c r="B10">
        <v>5.1524311742314302</v>
      </c>
      <c r="C10">
        <v>2.1326706673962499</v>
      </c>
      <c r="D10">
        <v>5.9957262428595</v>
      </c>
      <c r="E10">
        <v>2.6826009949389098</v>
      </c>
      <c r="F10">
        <v>5.1654605759949703</v>
      </c>
      <c r="G10">
        <v>2.4217833272446598</v>
      </c>
      <c r="H10" t="str">
        <f t="shared" si="0"/>
        <v>5.15 \textpm 2.13</v>
      </c>
      <c r="I10" t="str">
        <f t="shared" si="1"/>
        <v>6 \textpm 2.68</v>
      </c>
      <c r="J10" t="str">
        <f t="shared" si="2"/>
        <v>5.17 \textpm 2.42</v>
      </c>
      <c r="K10" t="str">
        <f t="shared" si="3"/>
        <v>5.15 \textpm 2.13 &amp; 6 \textpm 2.68 &amp; 5.17 \textpm 2.42</v>
      </c>
    </row>
    <row r="11" spans="1:11">
      <c r="A11" t="s">
        <v>15</v>
      </c>
      <c r="B11">
        <v>937.27373165757194</v>
      </c>
      <c r="C11">
        <v>273.49017891400098</v>
      </c>
      <c r="D11">
        <v>871.27160775956804</v>
      </c>
      <c r="E11">
        <v>255.69439916438901</v>
      </c>
      <c r="F11">
        <v>803.319225155146</v>
      </c>
      <c r="G11">
        <v>249.887634894358</v>
      </c>
      <c r="H11" t="str">
        <f t="shared" si="0"/>
        <v>937.27 \textpm 273.49</v>
      </c>
      <c r="I11" t="str">
        <f t="shared" si="1"/>
        <v>871.27 \textpm 255.69</v>
      </c>
      <c r="J11" t="str">
        <f t="shared" si="2"/>
        <v>803.32 \textpm 249.89</v>
      </c>
      <c r="K11" t="str">
        <f t="shared" si="3"/>
        <v>937.27 \textpm 273.49 &amp; 871.27 \textpm 255.69 &amp; 803.32 \textpm 249.89</v>
      </c>
    </row>
    <row r="12" spans="1:11">
      <c r="A12" t="s">
        <v>16</v>
      </c>
      <c r="B12">
        <v>843.52927223205097</v>
      </c>
      <c r="C12">
        <v>229.24954498645999</v>
      </c>
      <c r="D12">
        <v>844.36262348651098</v>
      </c>
      <c r="E12">
        <v>276.10947610964001</v>
      </c>
      <c r="F12">
        <v>748.34583990174303</v>
      </c>
      <c r="G12">
        <v>261.54477480996002</v>
      </c>
      <c r="H12" t="str">
        <f t="shared" si="0"/>
        <v>843.53 \textpm 229.25</v>
      </c>
      <c r="I12" t="str">
        <f t="shared" si="1"/>
        <v>844.36 \textpm 276.11</v>
      </c>
      <c r="J12" t="str">
        <f t="shared" si="2"/>
        <v>748.35 \textpm 261.54</v>
      </c>
      <c r="K12" t="str">
        <f t="shared" ref="K12" si="4">H12 &amp; " &amp; " &amp; I12 &amp; " &amp; " &amp; J12</f>
        <v>843.53 \textpm 229.25 &amp; 844.36 \textpm 276.11 &amp; 748.35 \textpm 261.54</v>
      </c>
    </row>
    <row r="13" spans="1:11">
      <c r="B13" s="1">
        <f>B8/B2</f>
        <v>68.106971908362397</v>
      </c>
      <c r="C13" s="1"/>
      <c r="D13" s="1">
        <f>D8/D2</f>
        <v>69.012474271867418</v>
      </c>
      <c r="E13" s="1"/>
      <c r="F13" s="1">
        <f>F8/F2</f>
        <v>102.22751548165252</v>
      </c>
    </row>
    <row r="14" spans="1:11">
      <c r="B14" s="1">
        <f>B9/B3</f>
        <v>0.10898350934812259</v>
      </c>
      <c r="C14" s="1"/>
      <c r="D14" s="1">
        <f>D9/D3</f>
        <v>0.1023297843564383</v>
      </c>
      <c r="E14" s="1"/>
      <c r="F14" s="1">
        <f>F9/F3</f>
        <v>8.3923045772134261E-2</v>
      </c>
    </row>
  </sheetData>
  <autoFilter ref="A1:G18" xr:uid="{00000000-0009-0000-0000-000000000000}"/>
  <phoneticPr fontId="18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游傑新</dc:creator>
  <cp:lastModifiedBy>游傑新</cp:lastModifiedBy>
  <dcterms:created xsi:type="dcterms:W3CDTF">2019-12-15T14:55:46Z</dcterms:created>
  <dcterms:modified xsi:type="dcterms:W3CDTF">2022-01-21T12:09:35Z</dcterms:modified>
</cp:coreProperties>
</file>